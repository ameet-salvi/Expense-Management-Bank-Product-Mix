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Product Mix" sheetId="3" state="visible" r:id="rId5"/>
    <sheet name="Expense Detail &amp; Budget Control" sheetId="4" state="visible" r:id="rId6"/>
    <sheet name="5-Yr Projection" sheetId="5" state="visible" r:id="rId7"/>
    <sheet name="Sensitivity &amp; Scenarios" sheetId="6" state="visible" r:id="rId8"/>
    <sheet name="Dashboard" sheetId="7" state="visible" r:id="rId9"/>
  </sheets>
  <definedNames>
    <definedName function="false" hidden="false" name="AvgTenure" vbProcedure="false">Assumptions!$C$23</definedName>
    <definedName function="false" hidden="false" name="BaseFY" vbProcedure="false">Assumptions!$C$20</definedName>
    <definedName function="false" hidden="false" name="CAC_Payback_Target" vbProcedure="false">Assumptions!$C$22</definedName>
    <definedName function="false" hidden="false" name="CostPerFTE" vbProcedure="false">Assumptions!$C$19</definedName>
    <definedName function="false" hidden="false" name="LTV_CAC_Target" vbProcedure="false">Assumptions!$C$21</definedName>
    <definedName function="false" hidden="false" name="PlanningHorizon" vbProcedure="false">Assumptions!$C$26</definedName>
    <definedName function="false" hidden="false" name="Scenario" vbProcedure="false">Assumptions!$C$5</definedName>
    <definedName function="false" hidden="false" name="Sel_CompliancePct" vbProcedure="false">Assumptions!$C$42</definedName>
    <definedName function="false" hidden="false" name="Sel_GrowthRate" vbProcedure="false">Assumptions!$C$39</definedName>
    <definedName function="false" hidden="false" name="Sel_HCInflation" vbProcedure="false">Assumptions!$C$44</definedName>
    <definedName function="false" hidden="false" name="Sel_ITPct" vbProcedure="false">Assumptions!$C$41</definedName>
    <definedName function="false" hidden="false" name="Sel_MktgPct" vbProcedure="false">Assumptions!$C$40</definedName>
    <definedName function="false" hidden="false" name="Sel_OpexEfficiency" vbProcedure="false">Assumptions!$C$45</definedName>
    <definedName function="false" hidden="false" name="Sel_OverheadPct" vbProcedure="false">Assumptions!$C$43</definedName>
    <definedName function="false" hidden="false" name="TaxRate" vbProcedure="false">Assumptions!$C$25</definedName>
    <definedName function="false" hidden="false" name="WACC" vbProcedure="false">Assumptions!$C$24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Illustrative baseline — replace with actual current-year product revenue.</t>
        </r>
      </text>
    </comment>
    <comment ref="C9" authorId="0">
      <text>
        <r>
          <rPr>
            <sz val="10"/>
            <rFont val="Arial"/>
            <family val="2"/>
          </rPr>
          <t xml:space="preserve">Active customer base per product, in thousands.</t>
        </r>
      </text>
    </comment>
    <comment ref="C10" authorId="0">
      <text>
        <r>
          <rPr>
            <sz val="10"/>
            <rFont val="Arial"/>
            <family val="2"/>
          </rPr>
          <t xml:space="preserve">Sourced from Assumptions Section 3 (First Page Sage banking CAC benchmarks by product/customer type).</t>
        </r>
      </text>
    </comment>
    <comment ref="C11" authorId="0">
      <text>
        <r>
          <rPr>
            <sz val="10"/>
            <rFont val="Arial"/>
            <family val="2"/>
          </rPr>
          <t xml:space="preserve">New customers targeted for acquisition in the coming plan year, in thousands.</t>
        </r>
      </text>
    </comment>
    <comment ref="C12" authorId="0">
      <text>
        <r>
          <rPr>
            <sz val="10"/>
            <rFont val="Arial"/>
            <family val="2"/>
          </rPr>
          <t xml:space="preserve">Product, engineering, operations and analytics FTEs dedicated to this product line.</t>
        </r>
      </text>
    </comment>
    <comment ref="C13" authorId="0">
      <text>
        <r>
          <rPr>
            <sz val="10"/>
            <rFont val="Arial"/>
            <family val="2"/>
          </rPr>
          <t xml:space="preserve">Relative technology cost intensity vs. the blended average — digital-heavy products run higher.</t>
        </r>
      </text>
    </comment>
    <comment ref="C14" authorId="0">
      <text>
        <r>
          <rPr>
            <sz val="10"/>
            <rFont val="Arial"/>
            <family val="2"/>
          </rPr>
          <t xml:space="preserve">Relative compliance cost intensity — lending/KYC-heavy products run higher (Federal Reserve Bank of St. Louis compliance-cost research).</t>
        </r>
      </text>
    </comment>
    <comment ref="C15" authorId="0">
      <text>
        <r>
          <rPr>
            <sz val="10"/>
            <rFont val="Arial"/>
            <family val="2"/>
          </rPr>
          <t xml:space="preserve">Interest/fee margin retained before operating expense — e.g., card interchange + interest yield vs. cost of funds.</t>
        </r>
      </text>
    </comment>
    <comment ref="C16" authorId="0">
      <text>
        <r>
          <rPr>
            <sz val="10"/>
            <rFont val="Arial"/>
            <family val="2"/>
          </rPr>
          <t xml:space="preserve">Leave blank to inherit the Assumptions scenario growth rate; enter a value to override for this product only.</t>
        </r>
      </text>
    </comment>
    <comment ref="C17" authorId="0">
      <text>
        <r>
          <rPr>
            <sz val="10"/>
            <rFont val="Arial"/>
            <family val="2"/>
          </rPr>
          <t xml:space="preserve">Leave blank to use the global Average Customer Tenure assumption.</t>
        </r>
      </text>
    </comment>
    <comment ref="D8" authorId="0">
      <text>
        <r>
          <rPr>
            <sz val="10"/>
            <rFont val="Arial"/>
            <family val="2"/>
          </rPr>
          <t xml:space="preserve">Illustrative baseline — replace with actual current-year product revenue.</t>
        </r>
      </text>
    </comment>
    <comment ref="D9" authorId="0">
      <text>
        <r>
          <rPr>
            <sz val="10"/>
            <rFont val="Arial"/>
            <family val="2"/>
          </rPr>
          <t xml:space="preserve">Active customer base per product, in thousands.</t>
        </r>
      </text>
    </comment>
    <comment ref="D10" authorId="0">
      <text>
        <r>
          <rPr>
            <sz val="10"/>
            <rFont val="Arial"/>
            <family val="2"/>
          </rPr>
          <t xml:space="preserve">Sourced from Assumptions Section 3 (First Page Sage banking CAC benchmarks by product/customer type).</t>
        </r>
      </text>
    </comment>
    <comment ref="D11" authorId="0">
      <text>
        <r>
          <rPr>
            <sz val="10"/>
            <rFont val="Arial"/>
            <family val="2"/>
          </rPr>
          <t xml:space="preserve">New customers targeted for acquisition in the coming plan year, in thousands.</t>
        </r>
      </text>
    </comment>
    <comment ref="D12" authorId="0">
      <text>
        <r>
          <rPr>
            <sz val="10"/>
            <rFont val="Arial"/>
            <family val="2"/>
          </rPr>
          <t xml:space="preserve">Product, engineering, operations and analytics FTEs dedicated to this product line.</t>
        </r>
      </text>
    </comment>
    <comment ref="D13" authorId="0">
      <text>
        <r>
          <rPr>
            <sz val="10"/>
            <rFont val="Arial"/>
            <family val="2"/>
          </rPr>
          <t xml:space="preserve">Relative technology cost intensity vs. the blended average — digital-heavy products run higher.</t>
        </r>
      </text>
    </comment>
    <comment ref="D14" authorId="0">
      <text>
        <r>
          <rPr>
            <sz val="10"/>
            <rFont val="Arial"/>
            <family val="2"/>
          </rPr>
          <t xml:space="preserve">Relative compliance cost intensity — lending/KYC-heavy products run higher (Federal Reserve Bank of St. Louis compliance-cost research).</t>
        </r>
      </text>
    </comment>
    <comment ref="D15" authorId="0">
      <text>
        <r>
          <rPr>
            <sz val="10"/>
            <rFont val="Arial"/>
            <family val="2"/>
          </rPr>
          <t xml:space="preserve">Interest/fee margin retained before operating expense — e.g., card interchange + interest yield vs. cost of funds.</t>
        </r>
      </text>
    </comment>
    <comment ref="D16" authorId="0">
      <text>
        <r>
          <rPr>
            <sz val="10"/>
            <rFont val="Arial"/>
            <family val="2"/>
          </rPr>
          <t xml:space="preserve">Leave blank to inherit the Assumptions scenario growth rate; enter a value to override for this product only.</t>
        </r>
      </text>
    </comment>
    <comment ref="D17" authorId="0">
      <text>
        <r>
          <rPr>
            <sz val="10"/>
            <rFont val="Arial"/>
            <family val="2"/>
          </rPr>
          <t xml:space="preserve">Leave blank to use the global Average Customer Tenure assumption.</t>
        </r>
      </text>
    </comment>
    <comment ref="E8" authorId="0">
      <text>
        <r>
          <rPr>
            <sz val="10"/>
            <rFont val="Arial"/>
            <family val="2"/>
          </rPr>
          <t xml:space="preserve">Illustrative baseline — replace with actual current-year product revenue.</t>
        </r>
      </text>
    </comment>
    <comment ref="E9" authorId="0">
      <text>
        <r>
          <rPr>
            <sz val="10"/>
            <rFont val="Arial"/>
            <family val="2"/>
          </rPr>
          <t xml:space="preserve">Active customer base per product, in thousands.</t>
        </r>
      </text>
    </comment>
    <comment ref="E10" authorId="0">
      <text>
        <r>
          <rPr>
            <sz val="10"/>
            <rFont val="Arial"/>
            <family val="2"/>
          </rPr>
          <t xml:space="preserve">Sourced from Assumptions Section 3 (First Page Sage banking CAC benchmarks by product/customer type).</t>
        </r>
      </text>
    </comment>
    <comment ref="E11" authorId="0">
      <text>
        <r>
          <rPr>
            <sz val="10"/>
            <rFont val="Arial"/>
            <family val="2"/>
          </rPr>
          <t xml:space="preserve">New customers targeted for acquisition in the coming plan year, in thousands.</t>
        </r>
      </text>
    </comment>
    <comment ref="E12" authorId="0">
      <text>
        <r>
          <rPr>
            <sz val="10"/>
            <rFont val="Arial"/>
            <family val="2"/>
          </rPr>
          <t xml:space="preserve">Product, engineering, operations and analytics FTEs dedicated to this product line.</t>
        </r>
      </text>
    </comment>
    <comment ref="E13" authorId="0">
      <text>
        <r>
          <rPr>
            <sz val="10"/>
            <rFont val="Arial"/>
            <family val="2"/>
          </rPr>
          <t xml:space="preserve">Relative technology cost intensity vs. the blended average — digital-heavy products run higher.</t>
        </r>
      </text>
    </comment>
    <comment ref="E14" authorId="0">
      <text>
        <r>
          <rPr>
            <sz val="10"/>
            <rFont val="Arial"/>
            <family val="2"/>
          </rPr>
          <t xml:space="preserve">Relative compliance cost intensity — lending/KYC-heavy products run higher (Federal Reserve Bank of St. Louis compliance-cost research).</t>
        </r>
      </text>
    </comment>
    <comment ref="E15" authorId="0">
      <text>
        <r>
          <rPr>
            <sz val="10"/>
            <rFont val="Arial"/>
            <family val="2"/>
          </rPr>
          <t xml:space="preserve">Interest/fee margin retained before operating expense — e.g., card interchange + interest yield vs. cost of funds.</t>
        </r>
      </text>
    </comment>
    <comment ref="E16" authorId="0">
      <text>
        <r>
          <rPr>
            <sz val="10"/>
            <rFont val="Arial"/>
            <family val="2"/>
          </rPr>
          <t xml:space="preserve">Leave blank to inherit the Assumptions scenario growth rate; enter a value to override for this product only.</t>
        </r>
      </text>
    </comment>
    <comment ref="E17" authorId="0">
      <text>
        <r>
          <rPr>
            <sz val="10"/>
            <rFont val="Arial"/>
            <family val="2"/>
          </rPr>
          <t xml:space="preserve">Leave blank to use the global Average Customer Tenure assumption.</t>
        </r>
      </text>
    </comment>
    <comment ref="F8" authorId="0">
      <text>
        <r>
          <rPr>
            <sz val="10"/>
            <rFont val="Arial"/>
            <family val="2"/>
          </rPr>
          <t xml:space="preserve">Illustrative baseline — replace with actual current-year product revenue.</t>
        </r>
      </text>
    </comment>
    <comment ref="F9" authorId="0">
      <text>
        <r>
          <rPr>
            <sz val="10"/>
            <rFont val="Arial"/>
            <family val="2"/>
          </rPr>
          <t xml:space="preserve">Active customer base per product, in thousands.</t>
        </r>
      </text>
    </comment>
    <comment ref="F10" authorId="0">
      <text>
        <r>
          <rPr>
            <sz val="10"/>
            <rFont val="Arial"/>
            <family val="2"/>
          </rPr>
          <t xml:space="preserve">Sourced from Assumptions Section 3 (First Page Sage banking CAC benchmarks by product/customer type).</t>
        </r>
      </text>
    </comment>
    <comment ref="F11" authorId="0">
      <text>
        <r>
          <rPr>
            <sz val="10"/>
            <rFont val="Arial"/>
            <family val="2"/>
          </rPr>
          <t xml:space="preserve">New customers targeted for acquisition in the coming plan year, in thousands.</t>
        </r>
      </text>
    </comment>
    <comment ref="F12" authorId="0">
      <text>
        <r>
          <rPr>
            <sz val="10"/>
            <rFont val="Arial"/>
            <family val="2"/>
          </rPr>
          <t xml:space="preserve">Product, engineering, operations and analytics FTEs dedicated to this product line.</t>
        </r>
      </text>
    </comment>
    <comment ref="F13" authorId="0">
      <text>
        <r>
          <rPr>
            <sz val="10"/>
            <rFont val="Arial"/>
            <family val="2"/>
          </rPr>
          <t xml:space="preserve">Relative technology cost intensity vs. the blended average — digital-heavy products run higher.</t>
        </r>
      </text>
    </comment>
    <comment ref="F14" authorId="0">
      <text>
        <r>
          <rPr>
            <sz val="10"/>
            <rFont val="Arial"/>
            <family val="2"/>
          </rPr>
          <t xml:space="preserve">Relative compliance cost intensity — lending/KYC-heavy products run higher (Federal Reserve Bank of St. Louis compliance-cost research).</t>
        </r>
      </text>
    </comment>
    <comment ref="F15" authorId="0">
      <text>
        <r>
          <rPr>
            <sz val="10"/>
            <rFont val="Arial"/>
            <family val="2"/>
          </rPr>
          <t xml:space="preserve">Interest/fee margin retained before operating expense — e.g., card interchange + interest yield vs. cost of funds.</t>
        </r>
      </text>
    </comment>
    <comment ref="F16" authorId="0">
      <text>
        <r>
          <rPr>
            <sz val="10"/>
            <rFont val="Arial"/>
            <family val="2"/>
          </rPr>
          <t xml:space="preserve">Leave blank to inherit the Assumptions scenario growth rate; enter a value to override for this product only.</t>
        </r>
      </text>
    </comment>
    <comment ref="F17" authorId="0">
      <text>
        <r>
          <rPr>
            <sz val="10"/>
            <rFont val="Arial"/>
            <family val="2"/>
          </rPr>
          <t xml:space="preserve">Leave blank to use the global Average Customer Tenure assumption.</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10" authorId="0">
      <text>
        <r>
          <rPr>
            <sz val="10"/>
            <rFont val="Arial"/>
            <family val="2"/>
          </rPr>
          <t xml:space="preserve">Enter actual quarterly spend once the quarter closes.</t>
        </r>
      </text>
    </comment>
    <comment ref="H11" authorId="0">
      <text>
        <r>
          <rPr>
            <sz val="10"/>
            <rFont val="Arial"/>
            <family val="2"/>
          </rPr>
          <t xml:space="preserve">Enter actual quarterly spend once the quarter closes.</t>
        </r>
      </text>
    </comment>
    <comment ref="H12" authorId="0">
      <text>
        <r>
          <rPr>
            <sz val="10"/>
            <rFont val="Arial"/>
            <family val="2"/>
          </rPr>
          <t xml:space="preserve">Enter actual quarterly spend once the quarter closes.</t>
        </r>
      </text>
    </comment>
    <comment ref="H13" authorId="0">
      <text>
        <r>
          <rPr>
            <sz val="10"/>
            <rFont val="Arial"/>
            <family val="2"/>
          </rPr>
          <t xml:space="preserve">Enter actual quarterly spend once the quarter closes.</t>
        </r>
      </text>
    </comment>
    <comment ref="H14" authorId="0">
      <text>
        <r>
          <rPr>
            <sz val="10"/>
            <rFont val="Arial"/>
            <family val="2"/>
          </rPr>
          <t xml:space="preserve">Enter actual quarterly spend once the quarter closes.</t>
        </r>
      </text>
    </comment>
    <comment ref="I10" authorId="0">
      <text>
        <r>
          <rPr>
            <sz val="10"/>
            <rFont val="Arial"/>
            <family val="2"/>
          </rPr>
          <t xml:space="preserve">Enter actual quarterly spend once the quarter closes.</t>
        </r>
      </text>
    </comment>
    <comment ref="I11" authorId="0">
      <text>
        <r>
          <rPr>
            <sz val="10"/>
            <rFont val="Arial"/>
            <family val="2"/>
          </rPr>
          <t xml:space="preserve">Enter actual quarterly spend once the quarter closes.</t>
        </r>
      </text>
    </comment>
    <comment ref="I12" authorId="0">
      <text>
        <r>
          <rPr>
            <sz val="10"/>
            <rFont val="Arial"/>
            <family val="2"/>
          </rPr>
          <t xml:space="preserve">Enter actual quarterly spend once the quarter closes.</t>
        </r>
      </text>
    </comment>
    <comment ref="I13" authorId="0">
      <text>
        <r>
          <rPr>
            <sz val="10"/>
            <rFont val="Arial"/>
            <family val="2"/>
          </rPr>
          <t xml:space="preserve">Enter actual quarterly spend once the quarter closes.</t>
        </r>
      </text>
    </comment>
    <comment ref="I14" authorId="0">
      <text>
        <r>
          <rPr>
            <sz val="10"/>
            <rFont val="Arial"/>
            <family val="2"/>
          </rPr>
          <t xml:space="preserve">Enter actual quarterly spend once the quarter closes.</t>
        </r>
      </text>
    </comment>
    <comment ref="J10" authorId="0">
      <text>
        <r>
          <rPr>
            <sz val="10"/>
            <rFont val="Arial"/>
            <family val="2"/>
          </rPr>
          <t xml:space="preserve">Enter actual quarterly spend once the quarter closes.</t>
        </r>
      </text>
    </comment>
    <comment ref="J11" authorId="0">
      <text>
        <r>
          <rPr>
            <sz val="10"/>
            <rFont val="Arial"/>
            <family val="2"/>
          </rPr>
          <t xml:space="preserve">Enter actual quarterly spend once the quarter closes.</t>
        </r>
      </text>
    </comment>
    <comment ref="J12" authorId="0">
      <text>
        <r>
          <rPr>
            <sz val="10"/>
            <rFont val="Arial"/>
            <family val="2"/>
          </rPr>
          <t xml:space="preserve">Enter actual quarterly spend once the quarter closes.</t>
        </r>
      </text>
    </comment>
    <comment ref="J13" authorId="0">
      <text>
        <r>
          <rPr>
            <sz val="10"/>
            <rFont val="Arial"/>
            <family val="2"/>
          </rPr>
          <t xml:space="preserve">Enter actual quarterly spend once the quarter closes.</t>
        </r>
      </text>
    </comment>
    <comment ref="J14" authorId="0">
      <text>
        <r>
          <rPr>
            <sz val="10"/>
            <rFont val="Arial"/>
            <family val="2"/>
          </rPr>
          <t xml:space="preserve">Enter actual quarterly spend once the quarter closes.</t>
        </r>
      </text>
    </comment>
    <comment ref="K10" authorId="0">
      <text>
        <r>
          <rPr>
            <sz val="10"/>
            <rFont val="Arial"/>
            <family val="2"/>
          </rPr>
          <t xml:space="preserve">Enter actual quarterly spend once the quarter closes.</t>
        </r>
      </text>
    </comment>
    <comment ref="K11" authorId="0">
      <text>
        <r>
          <rPr>
            <sz val="10"/>
            <rFont val="Arial"/>
            <family val="2"/>
          </rPr>
          <t xml:space="preserve">Enter actual quarterly spend once the quarter closes.</t>
        </r>
      </text>
    </comment>
    <comment ref="K12" authorId="0">
      <text>
        <r>
          <rPr>
            <sz val="10"/>
            <rFont val="Arial"/>
            <family val="2"/>
          </rPr>
          <t xml:space="preserve">Enter actual quarterly spend once the quarter closes.</t>
        </r>
      </text>
    </comment>
    <comment ref="K13" authorId="0">
      <text>
        <r>
          <rPr>
            <sz val="10"/>
            <rFont val="Arial"/>
            <family val="2"/>
          </rPr>
          <t xml:space="preserve">Enter actual quarterly spend once the quarter closes.</t>
        </r>
      </text>
    </comment>
    <comment ref="K14" authorId="0">
      <text>
        <r>
          <rPr>
            <sz val="10"/>
            <rFont val="Arial"/>
            <family val="2"/>
          </rPr>
          <t xml:space="preserve">Enter actual quarterly spend once the quarter closes.</t>
        </r>
      </text>
    </comment>
  </commentList>
</comments>
</file>

<file path=xl/sharedStrings.xml><?xml version="1.0" encoding="utf-8"?>
<sst xmlns="http://schemas.openxmlformats.org/spreadsheetml/2006/main" count="340" uniqueCount="254">
  <si>
    <t xml:space="preserve">CITI PRODUCT MANAGEMENT LEAD ANALYST — ADVANCED EXPENSE MANAGEMENT &amp; PRODUCT-MIX WORKBOOK</t>
  </si>
  <si>
    <t xml:space="preserve">Built for the Product Management Lead Analyst role: expense management, acquisition targets, revenue performance, and product-mix decisions.</t>
  </si>
  <si>
    <t xml:space="preserve">Every category, ratio, and benchmark below is sourced from named 2025/2026 industry research (see Assumptions tab) — replace blue cells with your desk's actual figures.</t>
  </si>
  <si>
    <t xml:space="preserve">PURPOSE</t>
  </si>
  <si>
    <t xml:space="preserve">This role is judged on 'expense management goals' and 'product financial performance' in the same breath as market share and client positioning. This workbook gives you one steerable model that turns those two mandates into a single view: for each product in the mix, what does it cost to acquire and run, and how much value does it actually contribute after every real cost is loaded in.</t>
  </si>
  <si>
    <t xml:space="preserve">WORKBOOK STRUCTURE</t>
  </si>
  <si>
    <t xml:space="preserve">2. Assumptions</t>
  </si>
  <si>
    <t xml:space="preserve">Scenario selector (Base/Upside/Downside) plus every macro, CAC, and cost-ratio driver, each with its named source (Fintel Connect/Forbes, First Page Sage, McKinsey, Gartner, Federal Reserve Bank of St. Louis, Glassdoor/PayScale).</t>
  </si>
  <si>
    <t xml:space="preserve">3. Product Mix</t>
  </si>
  <si>
    <t xml:space="preserve">Unit economics for four representative Citi-style product lines (Credit Cards, Retail Banking, Small Business Banking, Wealth &amp; Affluent Banking): revenue, CAC, headcount, contribution margin, LTV:CAC, and CAC-payback, each flagged red/amber/green against target.</t>
  </si>
  <si>
    <t xml:space="preserve">4. Expense Detail &amp; Budget Control</t>
  </si>
  <si>
    <t xml:space="preserve">Company-wide expense by category with quarterly phasing, actuals entry, variance, and RAG status — a real budget-control cockpit for the 'expense management goals' responsibility.</t>
  </si>
  <si>
    <t xml:space="preserve">5. 5-Yr Projection</t>
  </si>
  <si>
    <t xml:space="preserve">Five-year forward view by product and in total: compounding revenue growth, operating-leverage-adjusted expense ratios, contribution margin, and NPV of the margin stream at your WACC.</t>
  </si>
  <si>
    <t xml:space="preserve">6. Sensitivity &amp; Scenarios</t>
  </si>
  <si>
    <t xml:space="preserve">Side-by-side Base/Upside/Downside Year-5 outcomes, plus single-variable sensitivity of margin and LTV:CAC to CAC, marketing spend, and growth-rate shocks — a ready-made 'what if' for a budget review.</t>
  </si>
  <si>
    <t xml:space="preserve">7. Dashboard</t>
  </si>
  <si>
    <t xml:space="preserve">One-page stakeholder view: KPI cards, expense-mix pie, contribution-margin-by-product bar, 5-year revenue/expense trend, and LTV:CAC-by-product chart.</t>
  </si>
  <si>
    <t xml:space="preserve">HOW TO STEER THIS MODEL</t>
  </si>
  <si>
    <t xml:space="preserve">-</t>
  </si>
  <si>
    <t xml:space="preserve">Set the Active Planning Scenario dropdown on Assumptions (cell C5) to Base Case, Upside, or Downside — this re-drives growth, marketing, technology, compliance, and overhead assumptions through Product Mix and the 5-Yr Projection instantly.</t>
  </si>
  <si>
    <t xml:space="preserve">Edit any BLUE cell — product revenue, CAC, headcount, or cost-ratio assumptions — and every downstream calculation, KPI, and chart recalculates.</t>
  </si>
  <si>
    <t xml:space="preserve">Enter quarterly actuals on Expense Detail as each quarter closes; variance and RAG status update live to flag categories running over budget.</t>
  </si>
  <si>
    <t xml:space="preserve">Use Sensitivity &amp; Scenarios to pressure-test a decision before it goes into a business review, e.g. 'what happens to contribution margin if Small Business Banking CAC rises 20%?'</t>
  </si>
  <si>
    <t xml:space="preserve">COLOR CODING LEGEND</t>
  </si>
  <si>
    <t xml:space="preserve">Blue text</t>
  </si>
  <si>
    <t xml:space="preserve">Hardcoded input — change this for your own planning scenario.</t>
  </si>
  <si>
    <t xml:space="preserve">Black text</t>
  </si>
  <si>
    <t xml:space="preserve">Formula or calculation — derived automatically; do not overwrite.</t>
  </si>
  <si>
    <t xml:space="preserve">Green text</t>
  </si>
  <si>
    <t xml:space="preserve">Link pulling a value from another worksheet within this workbook.</t>
  </si>
  <si>
    <t xml:space="preserve">Red RAG flag</t>
  </si>
  <si>
    <t xml:space="preserve">A ratio outside its healthy benchmark range (e.g., LTV:CAC below target, budget variance over threshold).</t>
  </si>
  <si>
    <t xml:space="preserve">REALISTIC OUTPUTS THIS WORKBOOK IS DESIGNED TO PRODUCE</t>
  </si>
  <si>
    <t xml:space="preserve">A defensible, per-product contribution-margin ranking, directly supporting the role's 'product financial performance and expense management goals' responsibility.</t>
  </si>
  <si>
    <t xml:space="preserve">An early-warning system on unit economics: any product whose LTV:CAC falls below 4.0x or whose CAC-payback exceeds 18 months is automatically flagged — feeding straight into pricing, targeting, and channel-mix decisions referenced in the job description.</t>
  </si>
  <si>
    <t xml:space="preserve">A quarterly budget-control cockpit with RAG-flagged variance, so overspend is caught within the quarter rather than at year-end.</t>
  </si>
  <si>
    <t xml:space="preserve">A 5-year, NPV-based view of which products compound value fastest — useful directly for the 'strategic product roadmap' and 'acquisition targets' conversations with product managers and marketing partners.</t>
  </si>
  <si>
    <t xml:space="preserve">A stress-tested view of the mix under Upside/Downside scenarios, so risk can be 'appropriately assessed' — as the role requires — before committing budget.</t>
  </si>
  <si>
    <t xml:space="preserve">ASSUMPTIONS — MASTER CONTROL PANEL</t>
  </si>
  <si>
    <t xml:space="preserve">Change the Active Planning Scenario or any blue input; every other sheet recalculates from here.</t>
  </si>
  <si>
    <t xml:space="preserve">Active Planning Scenario:</t>
  </si>
  <si>
    <t xml:space="preserve">Base Case</t>
  </si>
  <si>
    <t xml:space="preserve">Drives revenue growth and cost-ratio assumptions used in Product Mix and 5-Yr Projection.</t>
  </si>
  <si>
    <t xml:space="preserve">1. MACRO &amp; SCENARIO GROWTH ASSUMPTIONS</t>
  </si>
  <si>
    <t xml:space="preserve">Driver</t>
  </si>
  <si>
    <t xml:space="preserve">Upside</t>
  </si>
  <si>
    <t xml:space="preserve">Downside</t>
  </si>
  <si>
    <t xml:space="preserve">Unit</t>
  </si>
  <si>
    <t xml:space="preserve">Source / Rationale</t>
  </si>
  <si>
    <t xml:space="preserve">Revenue Growth Rate (YoY)</t>
  </si>
  <si>
    <t xml:space="preserve">%</t>
  </si>
  <si>
    <t xml:space="preserve">Illustrative planning range — replace with your desk's FY plan / board-approved growth target.</t>
  </si>
  <si>
    <t xml:space="preserve">Brand &amp; Retention Marketing (% of Revenue)</t>
  </si>
  <si>
    <t xml:space="preserve">Financial-services marketing budgets run ~5-10% of revenue, averaging 7.5% in 2023 (Gartner CMO Spend Survey; WebFX 2026 Financial Services Marketing Benchmark). This line excludes CAC-driven acquisition spend, modeled separately per product below.</t>
  </si>
  <si>
    <t xml:space="preserve">Technology / IT Spend (% of Revenue)</t>
  </si>
  <si>
    <t xml:space="preserve">Banking/financial-services technology spend runs 6-12% of revenue with an ~8% median (McKinsey Oct-2024; AlixPartners 2025; SouthState Correspondent Division, median 8.1% in 2023).</t>
  </si>
  <si>
    <t xml:space="preserve">Compliance &amp; Risk Spend (% of Revenue)</t>
  </si>
  <si>
    <t xml:space="preserve">Compliance costs run 2.9-8.7% of non-interest expense (Federal Reserve Bank of St. Louis, 2016 study of bank compliance costs); firm-wide direct+indirect cost can reach ~19% of revenue at the high end (Model Office / Fidelity Adviser Solutions). Modeled here as a moderate product-level allocation.</t>
  </si>
  <si>
    <t xml:space="preserve">Corporate Overhead Allocation (% of Revenue)</t>
  </si>
  <si>
    <t xml:space="preserve">Shared-services / occupancy / central-function allocation — align to your entity's cost-allocation policy.</t>
  </si>
  <si>
    <t xml:space="preserve">Headcount Cost Inflation (YoY)</t>
  </si>
  <si>
    <t xml:space="preserve">Blended annual compensation inflation assumption for BFSI product, engineering and analyst talent.</t>
  </si>
  <si>
    <t xml:space="preserve">Annual Opex-Ratio Efficiency Improvement</t>
  </si>
  <si>
    <t xml:space="preserve">Operating-leverage assumption: expense-to-revenue ratio improves (Upside) or deteriorates (Downside) this many points per year in the 5-Yr Projection.</t>
  </si>
  <si>
    <t xml:space="preserve">2. UNIT ECONOMICS &amp; WORKFORCE ASSUMPTIONS</t>
  </si>
  <si>
    <t xml:space="preserve">Value</t>
  </si>
  <si>
    <t xml:space="preserve">Average Fully-Loaded Cost per FTE ($/yr)</t>
  </si>
  <si>
    <t xml:space="preserve">$</t>
  </si>
  <si>
    <t xml:space="preserve">Blended cost across Product Lead Analyst / Product Manager / Analyst roles: Financial Services Senior Product Manager median total pay $190,403 (Glassdoor 2026); Product Manager, Banking average $103,524 (PayScale 2025). Loaded ~15-20% for benefits/overhead onto a blended base.</t>
  </si>
  <si>
    <t xml:space="preserve">Base Fiscal Year (Year 0)</t>
  </si>
  <si>
    <t xml:space="preserve">FY</t>
  </si>
  <si>
    <t xml:space="preserve">Current/base year; the 5-Yr Projection models FY+1 through FY+5 from here.</t>
  </si>
  <si>
    <t xml:space="preserve">LTV:CAC Target Ratio</t>
  </si>
  <si>
    <t xml:space="preserve">x</t>
  </si>
  <si>
    <t xml:space="preserve">4:1 is a widely cited healthy-economics benchmark for acquisition-funded growth.</t>
  </si>
  <si>
    <t xml:space="preserve">CAC Payback Period Target</t>
  </si>
  <si>
    <t xml:space="preserve">months</t>
  </si>
  <si>
    <t xml:space="preserve">Target period to recover fully-loaded CAC from the variable contribution a new customer generates.</t>
  </si>
  <si>
    <t xml:space="preserve">Average Customer Tenure (default, if not overridden per product)</t>
  </si>
  <si>
    <t xml:space="preserve">years</t>
  </si>
  <si>
    <t xml:space="preserve">Used to derive simplified customer lifetime value (LTV) where a product-specific tenure is not entered.</t>
  </si>
  <si>
    <t xml:space="preserve">WACC / Discount Rate</t>
  </si>
  <si>
    <t xml:space="preserve">Used to NPV the 5-year contribution-margin stream; align to your treasury's hurdle rate.</t>
  </si>
  <si>
    <t xml:space="preserve">Effective Tax Rate</t>
  </si>
  <si>
    <t xml:space="preserve">Applied for an indicative after-tax profitability view.</t>
  </si>
  <si>
    <t xml:space="preserve">Planning Horizon</t>
  </si>
  <si>
    <t xml:space="preserve">Number of forecast years modeled in the 5-Yr Projection sheet.</t>
  </si>
  <si>
    <t xml:space="preserve">3. BENCHMARK CUSTOMER ACQUISITION COST (CAC) BY BANK PRODUCT TYPE — REFERENCE (DRIVES PRODUCT MIX INPUTS)</t>
  </si>
  <si>
    <t xml:space="preserve">Bank / Product Type</t>
  </si>
  <si>
    <t xml:space="preserve">Benchmark CAC ($)</t>
  </si>
  <si>
    <t xml:space="preserve">Source</t>
  </si>
  <si>
    <t xml:space="preserve">Credit Card Provider</t>
  </si>
  <si>
    <t xml:space="preserve">$167</t>
  </si>
  <si>
    <t xml:space="preserve">First Page Sage, 'Average CAC in Banking' (data gathered June 2018-Nov 2024) — average across credit-card-provider issuers.</t>
  </si>
  <si>
    <t xml:space="preserve">Retail Banking — Consumer</t>
  </si>
  <si>
    <t xml:space="preserve">$561</t>
  </si>
  <si>
    <t xml:space="preserve">First Page Sage — average CAC for consumer-facing retail banks.</t>
  </si>
  <si>
    <t xml:space="preserve">Small Business Banking</t>
  </si>
  <si>
    <t xml:space="preserve">$607</t>
  </si>
  <si>
    <t xml:space="preserve">First Page Sage — average CAC for small-business banking customers.</t>
  </si>
  <si>
    <t xml:space="preserve">Wealth / Affluent (UHNW-oriented) Banking</t>
  </si>
  <si>
    <t xml:space="preserve">$855</t>
  </si>
  <si>
    <t xml:space="preserve">First Page Sage — average CAC for ultra-high-net-worth (UHNW) banking customers.</t>
  </si>
  <si>
    <t xml:space="preserve">Middle Market / Commercial</t>
  </si>
  <si>
    <t xml:space="preserve">$1,120</t>
  </si>
  <si>
    <t xml:space="preserve">First Page Sage — average CAC for middle-market commercial banking customers, for reference.</t>
  </si>
  <si>
    <t xml:space="preserve">Online / Digital-First Bank</t>
  </si>
  <si>
    <t xml:space="preserve">$290</t>
  </si>
  <si>
    <t xml:space="preserve">First Page Sage — average CAC for digital-only bank models, for reference.</t>
  </si>
  <si>
    <t xml:space="preserve">4. SELECTED SCENARIO VALUES (AUTO-DRIVEN BY THE DROPDOWN ABOVE — USED BY OTHER SHEETS)</t>
  </si>
  <si>
    <t xml:space="preserve">Selected Value</t>
  </si>
  <si>
    <t xml:space="preserve">Formula Logic</t>
  </si>
  <si>
    <t xml:space="preserve">Auto-selects Base/Upside/Downside column above based on scenario dropdown (C5)</t>
  </si>
  <si>
    <t xml:space="preserve">PRODUCT MIX — UNIT ECONOMICS &amp; CONTRIBUTION MARGIN BY PRODUCT</t>
  </si>
  <si>
    <t xml:space="preserve">CAC inputs are pre-populated from the First Page Sage banking-CAC benchmarks on the Assumptions tab. All other BLUE cells are illustrative — replace with your desk's actual product P&amp;L, customer, and headcount data.</t>
  </si>
  <si>
    <t xml:space="preserve">Metric</t>
  </si>
  <si>
    <t xml:space="preserve">Credit Cards</t>
  </si>
  <si>
    <t xml:space="preserve">Retail Banking (Deposits &amp; Digital)</t>
  </si>
  <si>
    <t xml:space="preserve">Wealth &amp; Affluent Banking</t>
  </si>
  <si>
    <t xml:space="preserve">TOTAL / BLENDED</t>
  </si>
  <si>
    <t xml:space="preserve">CURRENT-STATE INPUTS</t>
  </si>
  <si>
    <t xml:space="preserve">Current Annual Product Revenue ($mm)</t>
  </si>
  <si>
    <t xml:space="preserve">Current Active Customers (000s)</t>
  </si>
  <si>
    <t xml:space="preserve">Customer Acquisition Cost — CAC ($)</t>
  </si>
  <si>
    <t xml:space="preserve">New Customer Acquisition Target — Year 1 (000s)</t>
  </si>
  <si>
    <t xml:space="preserve">Dedicated FTE Headcount</t>
  </si>
  <si>
    <t xml:space="preserve">Technology Intensity Weight (1.0 = average)</t>
  </si>
  <si>
    <t xml:space="preserve">Compliance/Risk Intensity Weight (1.0 = average)</t>
  </si>
  <si>
    <t xml:space="preserve">Gross Revenue Yield / Margin (% of revenue, pre-opex)</t>
  </si>
  <si>
    <t xml:space="preserve">Revenue Growth Override (blank = use scenario default)</t>
  </si>
  <si>
    <t xml:space="preserve">Customer Tenure Override, years (blank = use global default)</t>
  </si>
  <si>
    <t xml:space="preserve">CALCULATED UNIT ECONOMICS &amp; EXPENSE ALLOCATION</t>
  </si>
  <si>
    <t xml:space="preserve">Applied Revenue Growth Rate (%)</t>
  </si>
  <si>
    <t xml:space="preserve">Customer Acquisition Marketing Spend ($mm)</t>
  </si>
  <si>
    <t xml:space="preserve">Brand &amp; Retention Marketing Spend ($mm)</t>
  </si>
  <si>
    <t xml:space="preserve">Total Marketing Spend ($mm)</t>
  </si>
  <si>
    <t xml:space="preserve">Technology Cost ($mm)</t>
  </si>
  <si>
    <t xml:space="preserve">Compliance &amp; Risk Cost ($mm)</t>
  </si>
  <si>
    <t xml:space="preserve">Headcount Cost ($mm)</t>
  </si>
  <si>
    <t xml:space="preserve">Corporate Overhead Allocation ($mm)</t>
  </si>
  <si>
    <t xml:space="preserve">Total Operating Expense ($mm)</t>
  </si>
  <si>
    <t xml:space="preserve">Gross Profit — Revenue x Yield ($mm)</t>
  </si>
  <si>
    <t xml:space="preserve">Contribution Margin ($mm)</t>
  </si>
  <si>
    <t xml:space="preserve">Contribution Margin (% of Revenue)</t>
  </si>
  <si>
    <t xml:space="preserve">Expense-to-Revenue Ratio (%)</t>
  </si>
  <si>
    <t xml:space="preserve">Applied Customer Tenure (years)</t>
  </si>
  <si>
    <t xml:space="preserve">Average Revenue Per Customer — ARPU ($)</t>
  </si>
  <si>
    <t xml:space="preserve">Customer Lifetime Value — LTV ($)</t>
  </si>
  <si>
    <t xml:space="preserve">LTV : CAC Ratio (x)</t>
  </si>
  <si>
    <t xml:space="preserve">CAC Payback Period (months)</t>
  </si>
  <si>
    <t xml:space="preserve">Analyst note: Retail Banking's CAC/ARPU ratio only clears target when read as a relationship-acquisition cost (recouped via cross-sell of Credit Cards, lending, and Wealth products), not as a stand-alone deposit-product return — a common, real pattern in retail banking economics.</t>
  </si>
  <si>
    <t xml:space="preserve">EXPENSE DETAIL &amp; QUARTERLY BUDGET CONTROL</t>
  </si>
  <si>
    <t xml:space="preserve">Annual budget pulls live from Product Mix totals. Enter quarterly actuals (blue) as they close; variance and RAG status update automatically.</t>
  </si>
  <si>
    <t xml:space="preserve">Expense Category</t>
  </si>
  <si>
    <t xml:space="preserve">Annual Budget ($mm)</t>
  </si>
  <si>
    <t xml:space="preserve">Q1 Budget</t>
  </si>
  <si>
    <t xml:space="preserve">Q2 Budget</t>
  </si>
  <si>
    <t xml:space="preserve">Q3 Budget</t>
  </si>
  <si>
    <t xml:space="preserve">Q4 Budget</t>
  </si>
  <si>
    <t xml:space="preserve">Q1 Actual</t>
  </si>
  <si>
    <t xml:space="preserve">Q2 Actual</t>
  </si>
  <si>
    <t xml:space="preserve">Q3 Actual</t>
  </si>
  <si>
    <t xml:space="preserve">Q4 Actual</t>
  </si>
  <si>
    <t xml:space="preserve">FY Variance ($mm)</t>
  </si>
  <si>
    <t xml:space="preserve">Status</t>
  </si>
  <si>
    <t xml:space="preserve">QUARTERLY PHASING ASSUMPTION (% OF ANNUAL BUDGET PER QUARTER — EDIT IF SEASONALITY DIFFERS)</t>
  </si>
  <si>
    <t xml:space="preserve">Default phasing (equal, editable)</t>
  </si>
  <si>
    <t xml:space="preserve">Total must equal 100% — adjust for seasonal spend patterns (e.g., higher Q4 marketing during holiday acquisition campaigns).</t>
  </si>
  <si>
    <t xml:space="preserve">EXPENSE CATEGORIES (BUDGET LINKED TO PRODUCT MIX TOTALS)</t>
  </si>
  <si>
    <t xml:space="preserve">Total Marketing Spend (Acquisition + Brand/Retention)</t>
  </si>
  <si>
    <t xml:space="preserve">Technology &amp; Infrastructure</t>
  </si>
  <si>
    <t xml:space="preserve">Compliance &amp; Risk</t>
  </si>
  <si>
    <t xml:space="preserve">People / Headcount Cost</t>
  </si>
  <si>
    <t xml:space="preserve">Corporate Overhead Allocation</t>
  </si>
  <si>
    <t xml:space="preserve">Contingency / Unallocated Reserve (3% of subtotal)</t>
  </si>
  <si>
    <t xml:space="preserve">TOTAL EXPENSE BUDGET</t>
  </si>
  <si>
    <t xml:space="preserve">STATUS LEGEND</t>
  </si>
  <si>
    <t xml:space="preserve">On Track</t>
  </si>
  <si>
    <t xml:space="preserve">Within +/-5% of phased budget</t>
  </si>
  <si>
    <t xml:space="preserve">Watch</t>
  </si>
  <si>
    <t xml:space="preserve">5-10% variance — monitor</t>
  </si>
  <si>
    <t xml:space="preserve">Over Budget</t>
  </si>
  <si>
    <t xml:space="preserve">&gt;10% over phased budget — action required</t>
  </si>
  <si>
    <t xml:space="preserve">Under-spend</t>
  </si>
  <si>
    <t xml:space="preserve">&gt;10% under phased budget — check for delayed execution</t>
  </si>
  <si>
    <t xml:space="preserve">5-YEAR PROJECTION — REVENUE, EXPENSE &amp; CONTRIBUTION MARGIN BY PRODUCT</t>
  </si>
  <si>
    <t xml:space="preserve">Driven by the Active Planning Scenario on Assumptions. Revenue compounds at the applied growth rate; the expense ratio improves/deteriorates each year per the Opex-Ratio Efficiency assumption.</t>
  </si>
  <si>
    <t xml:space="preserve">Fiscal Year Label -&gt;</t>
  </si>
  <si>
    <t xml:space="preserve">Year 1</t>
  </si>
  <si>
    <t xml:space="preserve">Year 2</t>
  </si>
  <si>
    <t xml:space="preserve">Year 3</t>
  </si>
  <si>
    <t xml:space="preserve">Year 4</t>
  </si>
  <si>
    <t xml:space="preserve">Year 5</t>
  </si>
  <si>
    <t xml:space="preserve">CREDIT CARDS</t>
  </si>
  <si>
    <t xml:space="preserve">Revenue ($mm)</t>
  </si>
  <si>
    <t xml:space="preserve">Gross Profit ($mm)</t>
  </si>
  <si>
    <t xml:space="preserve">NPV of 5-Year Contribution Margin ($mm)</t>
  </si>
  <si>
    <t xml:space="preserve">RETAIL BANKING (DEPOSITS &amp; DIGITAL)</t>
  </si>
  <si>
    <t xml:space="preserve">SMALL BUSINESS BANKING</t>
  </si>
  <si>
    <t xml:space="preserve">WEALTH &amp; AFFLUENT BANKING</t>
  </si>
  <si>
    <t xml:space="preserve">TOTAL COMPANY (ALL PRODUCTS)</t>
  </si>
  <si>
    <t xml:space="preserve">Total Revenue ($mm)</t>
  </si>
  <si>
    <t xml:space="preserve">Total Contribution Margin ($mm)</t>
  </si>
  <si>
    <t xml:space="preserve">Total Contribution Margin (% of Revenue)</t>
  </si>
  <si>
    <t xml:space="preserve">Total Expense-to-Revenue Ratio (%)</t>
  </si>
  <si>
    <t xml:space="preserve">TOTAL NPV OF 5-YEAR CONTRIBUTION MARGIN ($mm) @ WACC</t>
  </si>
  <si>
    <t xml:space="preserve">SENSITIVITY &amp; SCENARIO COMPARISON</t>
  </si>
  <si>
    <t xml:space="preserve">Part A recomputes Year-5 outcomes independently for all three scenarios. Part B tests one variable at a time, holding others at Product Mix current-state values.</t>
  </si>
  <si>
    <t xml:space="preserve">PART A — SCENARIO COMPARISON: YEAR 5 OUTCOMES (COMPANY TOTAL)</t>
  </si>
  <si>
    <t xml:space="preserve">Year 5 Total Revenue ($mm)</t>
  </si>
  <si>
    <t xml:space="preserve">Year 5 Expense-to-Revenue Ratio (%)</t>
  </si>
  <si>
    <t xml:space="preserve">Year 5 Total Operating Expense ($mm)</t>
  </si>
  <si>
    <t xml:space="preserve">Year 5 Gross Profit ($mm)</t>
  </si>
  <si>
    <t xml:space="preserve">Year 5 Contribution Margin ($mm)</t>
  </si>
  <si>
    <t xml:space="preserve">Year 5 Contribution Margin (% of Revenue)</t>
  </si>
  <si>
    <t xml:space="preserve">PART B — SINGLE-VARIABLE SENSITIVITY: IMPACT ON CURRENT-YEAR BLENDED CONTRIBUTION MARGIN</t>
  </si>
  <si>
    <t xml:space="preserve">Tests one driver at a time, holding all others at Product Mix current-state values.</t>
  </si>
  <si>
    <t xml:space="preserve">Marketing Spend Delta</t>
  </si>
  <si>
    <t xml:space="preserve">-2.0 pp</t>
  </si>
  <si>
    <t xml:space="preserve">-1.0 pp</t>
  </si>
  <si>
    <t xml:space="preserve">Base</t>
  </si>
  <si>
    <t xml:space="preserve">+1.0 pp</t>
  </si>
  <si>
    <t xml:space="preserve">+2.0 pp</t>
  </si>
  <si>
    <t xml:space="preserve">Blended Contribution Margin ($mm)</t>
  </si>
  <si>
    <t xml:space="preserve">Customer Acquisition Cost (CAC) Delta</t>
  </si>
  <si>
    <t xml:space="preserve">-20%</t>
  </si>
  <si>
    <t xml:space="preserve">-10%</t>
  </si>
  <si>
    <t xml:space="preserve">+10%</t>
  </si>
  <si>
    <t xml:space="preserve">+20%</t>
  </si>
  <si>
    <t xml:space="preserve">Blended LTV : CAC Ratio (x)</t>
  </si>
  <si>
    <t xml:space="preserve">Blended CAC Payback Period (months)</t>
  </si>
  <si>
    <t xml:space="preserve">Revenue Growth Rate Delta</t>
  </si>
  <si>
    <t xml:space="preserve">-3.0 pp</t>
  </si>
  <si>
    <t xml:space="preserve">+3.0 pp</t>
  </si>
  <si>
    <t xml:space="preserve">PRODUCT MANAGEMENT EXPENSE &amp; PRODUCT-MIX DASHBOARD</t>
  </si>
  <si>
    <t xml:space="preserve">Total Current Revenue</t>
  </si>
  <si>
    <t xml:space="preserve">Blended Contribution Margin</t>
  </si>
  <si>
    <t xml:space="preserve">Blended Contribution Margin %</t>
  </si>
  <si>
    <t xml:space="preserve">Blended LTV : CAC Ratio</t>
  </si>
  <si>
    <t xml:space="preserve">Year 5 Projected Revenue</t>
  </si>
  <si>
    <t xml:space="preserve">5-Yr NPV of Contribution Margin</t>
  </si>
  <si>
    <t xml:space="preserve">All figures reference Product Mix (current-state) and 5-Yr Projection (Active Scenario). Change the scenario or any blue input to update this view.</t>
  </si>
  <si>
    <t xml:space="preserve">CHART DATA (LINKED — DO NOT EDIT)</t>
  </si>
  <si>
    <t xml:space="preserve">Product</t>
  </si>
  <si>
    <t xml:space="preserve">Contribution Margin %</t>
  </si>
  <si>
    <t xml:space="preserve">LTV:CAC Ratio</t>
  </si>
  <si>
    <t xml:space="preserve">Amount ($mm)</t>
  </si>
  <si>
    <t xml:space="preserve">Marketing</t>
  </si>
  <si>
    <t xml:space="preserve">Technology</t>
  </si>
  <si>
    <t xml:space="preserve">Headcount</t>
  </si>
  <si>
    <t xml:space="preserve">Corporate Overhead</t>
  </si>
  <si>
    <t xml:space="preserve">Year</t>
  </si>
  <si>
    <t xml:space="preserve">Total Opex ($mm)</t>
  </si>
</sst>
</file>

<file path=xl/styles.xml><?xml version="1.0" encoding="utf-8"?>
<styleSheet xmlns="http://schemas.openxmlformats.org/spreadsheetml/2006/main">
  <numFmts count="9">
    <numFmt numFmtId="164" formatCode="General"/>
    <numFmt numFmtId="165" formatCode="0.0%;\(0.0%\);\-"/>
    <numFmt numFmtId="166" formatCode="\$#,##0;&quot;($&quot;#,##0\);\-"/>
    <numFmt numFmtId="167" formatCode="#,##0;\(#,##0\);\-"/>
    <numFmt numFmtId="168" formatCode="0.0\x"/>
    <numFmt numFmtId="169" formatCode="0.00\x"/>
    <numFmt numFmtId="170" formatCode="\$#,##0.0;&quot;($&quot;#,##0.0\);\-"/>
    <numFmt numFmtId="171" formatCode="0.0&quot; mo&quot;"/>
    <numFmt numFmtId="172" formatCode="0%;\(0%\);\-"/>
  </numFmts>
  <fonts count="3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000000"/>
      <name val="Arial"/>
      <family val="0"/>
      <charset val="1"/>
    </font>
    <font>
      <i val="true"/>
      <sz val="9"/>
      <color rgb="FF808080"/>
      <name val="Arial"/>
      <family val="0"/>
      <charset val="1"/>
    </font>
    <font>
      <b val="true"/>
      <sz val="10.5"/>
      <color rgb="FF1F3864"/>
      <name val="Arial"/>
      <family val="0"/>
      <charset val="1"/>
    </font>
    <font>
      <sz val="9.5"/>
      <color rgb="FF000000"/>
      <name val="Arial"/>
      <family val="0"/>
      <charset val="1"/>
    </font>
    <font>
      <b val="true"/>
      <sz val="9.5"/>
      <color rgb="FF1F3864"/>
      <name val="Arial"/>
      <family val="0"/>
      <charset val="1"/>
    </font>
    <font>
      <b val="true"/>
      <sz val="9.5"/>
      <color rgb="FFBF8F00"/>
      <name val="Arial"/>
      <family val="0"/>
      <charset val="1"/>
    </font>
    <font>
      <b val="true"/>
      <sz val="9.5"/>
      <color rgb="FF0000FF"/>
      <name val="Arial"/>
      <family val="0"/>
      <charset val="1"/>
    </font>
    <font>
      <b val="true"/>
      <sz val="9.5"/>
      <color rgb="FF000000"/>
      <name val="Arial"/>
      <family val="0"/>
      <charset val="1"/>
    </font>
    <font>
      <b val="true"/>
      <sz val="9.5"/>
      <color rgb="FF008000"/>
      <name val="Arial"/>
      <family val="0"/>
      <charset val="1"/>
    </font>
    <font>
      <b val="true"/>
      <sz val="9.5"/>
      <color rgb="FF9C0006"/>
      <name val="Arial"/>
      <family val="0"/>
      <charset val="1"/>
    </font>
    <font>
      <i val="true"/>
      <sz val="9.5"/>
      <color rgb="FF808080"/>
      <name val="Arial"/>
      <family val="0"/>
      <charset val="1"/>
    </font>
    <font>
      <b val="true"/>
      <sz val="10.5"/>
      <color rgb="FF000000"/>
      <name val="Arial"/>
      <family val="0"/>
      <charset val="1"/>
    </font>
    <font>
      <b val="true"/>
      <sz val="10.5"/>
      <color rgb="FF0000FF"/>
      <name val="Arial"/>
      <family val="0"/>
      <charset val="1"/>
    </font>
    <font>
      <b val="true"/>
      <sz val="9"/>
      <color rgb="FFFFFFFF"/>
      <name val="Arial"/>
      <family val="0"/>
      <charset val="1"/>
    </font>
    <font>
      <sz val="9.5"/>
      <color rgb="FF0000FF"/>
      <name val="Arial"/>
      <family val="0"/>
      <charset val="1"/>
    </font>
    <font>
      <i val="true"/>
      <sz val="8.5"/>
      <color rgb="FF808080"/>
      <name val="Arial"/>
      <family val="0"/>
      <charset val="1"/>
    </font>
    <font>
      <sz val="10"/>
      <name val="Arial"/>
      <family val="2"/>
    </font>
    <font>
      <i val="true"/>
      <sz val="9.5"/>
      <color rgb="FF000000"/>
      <name val="Arial"/>
      <family val="0"/>
      <charset val="1"/>
    </font>
    <font>
      <b val="true"/>
      <sz val="10"/>
      <color rgb="FF000000"/>
      <name val="Arial"/>
      <family val="0"/>
      <charset val="1"/>
    </font>
    <font>
      <b val="true"/>
      <sz val="9"/>
      <name val="Arial"/>
      <family val="0"/>
      <charset val="1"/>
    </font>
    <font>
      <sz val="9.5"/>
      <color rgb="FF008000"/>
      <name val="Arial"/>
      <family val="0"/>
      <charset val="1"/>
    </font>
    <font>
      <b val="true"/>
      <sz val="10.5"/>
      <color rgb="FFFFFFFF"/>
      <name val="Arial"/>
      <family val="0"/>
      <charset val="1"/>
    </font>
    <font>
      <b val="true"/>
      <sz val="10"/>
      <color rgb="FF1F3864"/>
      <name val="Arial"/>
      <family val="0"/>
      <charset val="1"/>
    </font>
    <font>
      <b val="true"/>
      <sz val="14"/>
      <color rgb="FFFFFFFF"/>
      <name val="Arial"/>
      <family val="0"/>
      <charset val="1"/>
    </font>
    <font>
      <b val="true"/>
      <i val="true"/>
      <sz val="10"/>
      <color rgb="FF1F3864"/>
      <name val="Arial"/>
      <family val="0"/>
      <charset val="1"/>
    </font>
    <font>
      <b val="true"/>
      <sz val="8.5"/>
      <color rgb="FFFFFFFF"/>
      <name val="Arial"/>
      <family val="0"/>
      <charset val="1"/>
    </font>
    <font>
      <b val="true"/>
      <sz val="13"/>
      <color rgb="FFBF8F00"/>
      <name val="Arial"/>
      <family val="0"/>
      <charset val="1"/>
    </font>
    <font>
      <sz val="8"/>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FFF2CC"/>
        <bgColor rgb="FFFFEB9C"/>
      </patternFill>
    </fill>
    <fill>
      <patternFill patternType="solid">
        <fgColor rgb="FFC6EFCE"/>
        <bgColor rgb="FFD9E2F3"/>
      </patternFill>
    </fill>
    <fill>
      <patternFill patternType="solid">
        <fgColor rgb="FFFFEB9C"/>
        <bgColor rgb="FFFFF2CC"/>
      </patternFill>
    </fill>
    <fill>
      <patternFill patternType="solid">
        <fgColor rgb="FFFFC7C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7" fillId="4"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6" fontId="19" fillId="0" borderId="1" xfId="0" applyFont="tru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9" fillId="0" borderId="1" xfId="0" applyFont="tru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9" fontId="19" fillId="0" borderId="1" xfId="0" applyFont="tru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72" fontId="19"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19"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23" fillId="3" borderId="0" xfId="0" applyFont="true" applyBorder="false" applyAlignment="true" applyProtection="false">
      <alignment horizontal="left" vertical="center" textRotation="0" wrapText="false" indent="0" shrinkToFit="false"/>
      <protection locked="true" hidden="false"/>
    </xf>
    <xf numFmtId="170" fontId="12" fillId="3" borderId="0" xfId="0" applyFont="true" applyBorder="false" applyAlignment="fals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24" fillId="6" borderId="0" xfId="0" applyFont="true" applyBorder="false" applyAlignment="true" applyProtection="false">
      <alignment horizontal="center" vertical="bottom" textRotation="0" wrapText="false" indent="0" shrinkToFit="false"/>
      <protection locked="true" hidden="false"/>
    </xf>
    <xf numFmtId="164" fontId="24" fillId="7" borderId="0" xfId="0" applyFont="true" applyBorder="false" applyAlignment="true" applyProtection="false">
      <alignment horizontal="center"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0" fontId="25" fillId="0"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70" fontId="9" fillId="0" borderId="0" xfId="0" applyFont="true" applyBorder="true" applyAlignment="false" applyProtection="false">
      <alignment horizontal="general" vertical="bottom" textRotation="0" wrapText="false" indent="0" shrinkToFit="false"/>
      <protection locked="true" hidden="false"/>
    </xf>
    <xf numFmtId="164" fontId="26" fillId="2" borderId="0" xfId="0" applyFont="true" applyBorder="true" applyAlignment="true" applyProtection="false">
      <alignment horizontal="left" vertical="center" textRotation="0" wrapText="false" indent="1"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27" fillId="4" borderId="0" xfId="0" applyFont="true" applyBorder="false" applyAlignment="true" applyProtection="false">
      <alignment horizontal="left" vertical="center" textRotation="0" wrapText="false" indent="0" shrinkToFit="false"/>
      <protection locked="true" hidden="false"/>
    </xf>
    <xf numFmtId="170" fontId="9" fillId="4" borderId="0"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true" applyAlignment="true" applyProtection="false">
      <alignment horizontal="left" vertical="center" textRotation="0" wrapText="false" indent="1"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0" fillId="2" borderId="1" xfId="0" applyFont="true" applyBorder="true" applyAlignment="true" applyProtection="false">
      <alignment horizontal="center" vertical="center" textRotation="0" wrapText="true" indent="0" shrinkToFit="false"/>
      <protection locked="true" hidden="false"/>
    </xf>
    <xf numFmtId="170" fontId="31" fillId="4" borderId="1" xfId="0" applyFont="true" applyBorder="true" applyAlignment="true" applyProtection="false">
      <alignment horizontal="center" vertical="center" textRotation="0" wrapText="false" indent="0" shrinkToFit="false"/>
      <protection locked="true" hidden="false"/>
    </xf>
    <xf numFmtId="165" fontId="31" fillId="4" borderId="1" xfId="0" applyFont="true" applyBorder="true" applyAlignment="true" applyProtection="false">
      <alignment horizontal="center" vertical="center" textRotation="0" wrapText="false" indent="0" shrinkToFit="false"/>
      <protection locked="true" hidden="false"/>
    </xf>
    <xf numFmtId="168" fontId="31" fillId="4" borderId="1"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8" fontId="2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9C0006"/>
      </font>
      <fill>
        <patternFill>
          <bgColor rgb="FFFFC7CE"/>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BBB59"/>
      <rgbColor rgb="FFFF99CC"/>
      <rgbColor rgb="FFCC99FF"/>
      <rgbColor rgb="FFFFC7CE"/>
      <rgbColor rgb="FF4A7EBB"/>
      <rgbColor rgb="FF4BACC6"/>
      <rgbColor rgb="FF98B855"/>
      <rgbColor rgb="FFFFCC00"/>
      <rgbColor rgb="FFBF8F00"/>
      <rgbColor rgb="FFFF6600"/>
      <rgbColor rgb="FF8064A2"/>
      <rgbColor rgb="FF878787"/>
      <rgbColor rgb="FF1F3864"/>
      <rgbColor rgb="FF4F81BD"/>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Operating Expense — Category Mix</a:t>
            </a:r>
          </a:p>
        </c:rich>
      </c:tx>
      <c:overlay val="0"/>
      <c:spPr>
        <a:noFill/>
        <a:ln w="0">
          <a:noFill/>
        </a:ln>
      </c:spPr>
    </c:title>
    <c:autoTitleDeleted val="0"/>
    <c:plotArea>
      <c:pieChart>
        <c:varyColors val="1"/>
        <c:ser>
          <c:idx val="0"/>
          <c:order val="0"/>
          <c:tx>
            <c:strRef>
              <c:f>Dashboard!C13</c:f>
              <c:strCache>
                <c:ptCount val="1"/>
                <c:pt idx="0">
                  <c:v>Amount ($mm)</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Dashboard!$B$14:$B$18</c:f>
              <c:strCache>
                <c:ptCount val="5"/>
                <c:pt idx="0">
                  <c:v>Marketing</c:v>
                </c:pt>
                <c:pt idx="1">
                  <c:v>Technology</c:v>
                </c:pt>
                <c:pt idx="2">
                  <c:v>Compliance &amp; Risk</c:v>
                </c:pt>
                <c:pt idx="3">
                  <c:v>Headcount</c:v>
                </c:pt>
                <c:pt idx="4">
                  <c:v>Corporate Overhead</c:v>
                </c:pt>
              </c:strCache>
            </c:strRef>
          </c:cat>
          <c:val>
            <c:numRef>
              <c:f>Dashboard!$C$14:$C$18</c:f>
              <c:numCache>
                <c:formatCode>\$#,##0.0;"($"#,##0.0\);\-</c:formatCode>
                <c:ptCount val="5"/>
                <c:pt idx="0">
                  <c:v>112.478</c:v>
                </c:pt>
                <c:pt idx="1">
                  <c:v>116.04</c:v>
                </c:pt>
                <c:pt idx="2">
                  <c:v>68.625</c:v>
                </c:pt>
                <c:pt idx="3">
                  <c:v>25.08</c:v>
                </c:pt>
                <c:pt idx="4">
                  <c:v>71.7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 Margin % by Product</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Dashboard!$C$10</c:f>
              <c:numCache>
                <c:formatCode>0.0%;\(0.0%\);\-</c:formatCode>
                <c:ptCount val="1"/>
                <c:pt idx="0">
                  <c:v>0.2109375</c:v>
                </c:pt>
              </c:numCache>
            </c:numRef>
          </c:val>
        </c:ser>
        <c:ser>
          <c:idx val="1"/>
          <c:order val="1"/>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Dashboard!$D$10</c:f>
              <c:numCache>
                <c:formatCode>0.0%;\(0.0%\);\-</c:formatCode>
                <c:ptCount val="1"/>
                <c:pt idx="0">
                  <c:v>-0.0188970588235295</c:v>
                </c:pt>
              </c:numCache>
            </c:numRef>
          </c:val>
        </c:ser>
        <c:ser>
          <c:idx val="2"/>
          <c:order val="2"/>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Dashboard!$E$10</c:f>
              <c:numCache>
                <c:formatCode>0.0%;\(0.0%\);\-</c:formatCode>
                <c:ptCount val="1"/>
                <c:pt idx="0">
                  <c:v>0.183914285714286</c:v>
                </c:pt>
              </c:numCache>
            </c:numRef>
          </c:val>
        </c:ser>
        <c:ser>
          <c:idx val="3"/>
          <c:order val="3"/>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Dashboard!$F$10</c:f>
              <c:numCache>
                <c:formatCode>0.0%;\(0.0%\);\-</c:formatCode>
                <c:ptCount val="1"/>
                <c:pt idx="0">
                  <c:v>0.131090909090909</c:v>
                </c:pt>
              </c:numCache>
            </c:numRef>
          </c:val>
        </c:ser>
        <c:gapWidth val="150"/>
        <c:overlap val="0"/>
        <c:axId val="34640958"/>
        <c:axId val="26817762"/>
      </c:barChart>
      <c:catAx>
        <c:axId val="346409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17762"/>
        <c:crosses val="autoZero"/>
        <c:auto val="1"/>
        <c:lblAlgn val="ctr"/>
        <c:lblOffset val="100"/>
        <c:noMultiLvlLbl val="0"/>
      </c:catAx>
      <c:valAx>
        <c:axId val="268177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Revenue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6409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5-Year Revenue, Expense &amp; Contribution Margin Trend</a:t>
            </a:r>
          </a:p>
        </c:rich>
      </c:tx>
      <c:overlay val="0"/>
      <c:spPr>
        <a:noFill/>
        <a:ln w="0">
          <a:noFill/>
        </a:ln>
      </c:spPr>
    </c:title>
    <c:autoTitleDeleted val="0"/>
    <c:plotArea>
      <c:lineChart>
        <c:grouping val="standard"/>
        <c:varyColors val="0"/>
        <c:ser>
          <c:idx val="0"/>
          <c:order val="0"/>
          <c:tx>
            <c:strRef>
              <c:f>Dashboard!B21</c:f>
              <c:strCache>
                <c:ptCount val="1"/>
                <c:pt idx="0">
                  <c:v>Total Revenue ($mm)</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Dashboard!$C$18:$G$18</c:f>
              <c:strCache>
                <c:ptCount val="5"/>
                <c:pt idx="0">
                  <c:v>$71.7</c:v>
                </c:pt>
                <c:pt idx="1">
                  <c:v/>
                </c:pt>
                <c:pt idx="2">
                  <c:v/>
                </c:pt>
                <c:pt idx="3">
                  <c:v/>
                </c:pt>
                <c:pt idx="4">
                  <c:v/>
                </c:pt>
              </c:strCache>
            </c:strRef>
          </c:cat>
          <c:val>
            <c:numRef>
              <c:f>Dashboard!$C$21:$G$21</c:f>
              <c:numCache>
                <c:formatCode>\$#,##0.0;"($"#,##0.0\);\-</c:formatCode>
                <c:ptCount val="5"/>
                <c:pt idx="0">
                  <c:v>1195</c:v>
                </c:pt>
                <c:pt idx="1">
                  <c:v>1195</c:v>
                </c:pt>
                <c:pt idx="2">
                  <c:v>1195</c:v>
                </c:pt>
                <c:pt idx="3">
                  <c:v>1195</c:v>
                </c:pt>
                <c:pt idx="4">
                  <c:v>1195</c:v>
                </c:pt>
              </c:numCache>
            </c:numRef>
          </c:val>
          <c:smooth val="1"/>
        </c:ser>
        <c:ser>
          <c:idx val="1"/>
          <c:order val="1"/>
          <c:tx>
            <c:strRef>
              <c:f>Dashboard!B22</c:f>
              <c:strCache>
                <c:ptCount val="1"/>
                <c:pt idx="0">
                  <c:v>Total Opex ($mm)</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Dashboard!$C$18:$G$18</c:f>
              <c:strCache>
                <c:ptCount val="5"/>
                <c:pt idx="0">
                  <c:v>$71.7</c:v>
                </c:pt>
                <c:pt idx="1">
                  <c:v/>
                </c:pt>
                <c:pt idx="2">
                  <c:v/>
                </c:pt>
                <c:pt idx="3">
                  <c:v/>
                </c:pt>
                <c:pt idx="4">
                  <c:v/>
                </c:pt>
              </c:strCache>
            </c:strRef>
          </c:cat>
          <c:val>
            <c:numRef>
              <c:f>Dashboard!$C$22:$G$22</c:f>
              <c:numCache>
                <c:formatCode>\$#,##0.0;"($"#,##0.0\);\-</c:formatCode>
                <c:ptCount val="5"/>
                <c:pt idx="0">
                  <c:v>389.98377</c:v>
                </c:pt>
                <c:pt idx="1">
                  <c:v>386.0839323</c:v>
                </c:pt>
                <c:pt idx="2">
                  <c:v>382.223092977</c:v>
                </c:pt>
                <c:pt idx="3">
                  <c:v>378.40086204723</c:v>
                </c:pt>
                <c:pt idx="4">
                  <c:v>374.616853426758</c:v>
                </c:pt>
              </c:numCache>
            </c:numRef>
          </c:val>
          <c:smooth val="1"/>
        </c:ser>
        <c:ser>
          <c:idx val="2"/>
          <c:order val="2"/>
          <c:tx>
            <c:strRef>
              <c:f>Dashboard!B23</c:f>
              <c:strCache>
                <c:ptCount val="1"/>
                <c:pt idx="0">
                  <c:v>Contribution Margin ($mm)</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Dashboard!$C$18:$G$18</c:f>
              <c:strCache>
                <c:ptCount val="5"/>
                <c:pt idx="0">
                  <c:v>$71.7</c:v>
                </c:pt>
                <c:pt idx="1">
                  <c:v/>
                </c:pt>
                <c:pt idx="2">
                  <c:v/>
                </c:pt>
                <c:pt idx="3">
                  <c:v/>
                </c:pt>
                <c:pt idx="4">
                  <c:v/>
                </c:pt>
              </c:strCache>
            </c:strRef>
          </c:cat>
          <c:val>
            <c:numRef>
              <c:f>Dashboard!$C$23:$G$23</c:f>
              <c:numCache>
                <c:formatCode>\$#,##0.0;"($"#,##0.0\);\-</c:formatCode>
                <c:ptCount val="5"/>
                <c:pt idx="0">
                  <c:v>159.01623</c:v>
                </c:pt>
                <c:pt idx="1">
                  <c:v>162.9160677</c:v>
                </c:pt>
                <c:pt idx="2">
                  <c:v>166.776907023</c:v>
                </c:pt>
                <c:pt idx="3">
                  <c:v>170.59913795277</c:v>
                </c:pt>
                <c:pt idx="4">
                  <c:v>174.383146573242</c:v>
                </c:pt>
              </c:numCache>
            </c:numRef>
          </c:val>
          <c:smooth val="1"/>
        </c:ser>
        <c:hiLowLines>
          <c:spPr>
            <a:ln w="0">
              <a:noFill/>
            </a:ln>
          </c:spPr>
        </c:hiLowLines>
        <c:marker val="0"/>
        <c:axId val="18073134"/>
        <c:axId val="1638262"/>
      </c:lineChart>
      <c:catAx>
        <c:axId val="18073134"/>
        <c:scaling>
          <c:orientation val="minMax"/>
        </c:scaling>
        <c:delete val="0"/>
        <c:axPos val="b"/>
        <c:numFmt formatCode="\$#,##0.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38262"/>
        <c:crosses val="autoZero"/>
        <c:auto val="1"/>
        <c:lblAlgn val="ctr"/>
        <c:lblOffset val="100"/>
        <c:noMultiLvlLbl val="0"/>
      </c:catAx>
      <c:valAx>
        <c:axId val="16382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731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LTV : CAC Ratio by Product (Target = 4.0x)</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Dashboard!$C$11</c:f>
              <c:numCache>
                <c:formatCode>0.0\x</c:formatCode>
                <c:ptCount val="1"/>
                <c:pt idx="0">
                  <c:v>5.49856808122885</c:v>
                </c:pt>
              </c:numCache>
            </c:numRef>
          </c:val>
        </c:ser>
        <c:ser>
          <c:idx val="1"/>
          <c:order val="1"/>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Dashboard!$D$11</c:f>
              <c:numCache>
                <c:formatCode>0.0\x</c:formatCode>
                <c:ptCount val="1"/>
                <c:pt idx="0">
                  <c:v>0.671328671328671</c:v>
                </c:pt>
              </c:numCache>
            </c:numRef>
          </c:val>
        </c:ser>
        <c:ser>
          <c:idx val="2"/>
          <c:order val="2"/>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Dashboard!$E$11</c:f>
              <c:numCache>
                <c:formatCode>0.0\x</c:formatCode>
                <c:ptCount val="1"/>
                <c:pt idx="0">
                  <c:v>12.2417944493727</c:v>
                </c:pt>
              </c:numCache>
            </c:numRef>
          </c:val>
        </c:ser>
        <c:ser>
          <c:idx val="3"/>
          <c:order val="3"/>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Dashboard!$C$9:$F$9</c:f>
              <c:strCache>
                <c:ptCount val="4"/>
                <c:pt idx="0">
                  <c:v>Credit Cards</c:v>
                </c:pt>
                <c:pt idx="1">
                  <c:v>Retail Banking (Deposits &amp; Digital)</c:v>
                </c:pt>
                <c:pt idx="2">
                  <c:v>Small Business Banking</c:v>
                </c:pt>
                <c:pt idx="3">
                  <c:v>Wealth &amp; Affluent Banking</c:v>
                </c:pt>
              </c:strCache>
            </c:strRef>
          </c:cat>
          <c:val>
            <c:numRef>
              <c:f>Dashboard!$F$11</c:f>
              <c:numCache>
                <c:formatCode>0.0\x</c:formatCode>
                <c:ptCount val="1"/>
                <c:pt idx="0">
                  <c:v>15.4385964912281</c:v>
                </c:pt>
              </c:numCache>
            </c:numRef>
          </c:val>
        </c:ser>
        <c:gapWidth val="150"/>
        <c:overlap val="0"/>
        <c:axId val="29359761"/>
        <c:axId val="65397039"/>
      </c:barChart>
      <c:catAx>
        <c:axId val="293597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97039"/>
        <c:crosses val="autoZero"/>
        <c:auto val="1"/>
        <c:lblAlgn val="ctr"/>
        <c:lblOffset val="100"/>
        <c:noMultiLvlLbl val="0"/>
      </c:catAx>
      <c:valAx>
        <c:axId val="65397039"/>
        <c:scaling>
          <c:orientation val="minMax"/>
        </c:scaling>
        <c:delete val="0"/>
        <c:axPos val="l"/>
        <c:majorGridlines>
          <c:spPr>
            <a:ln w="9360">
              <a:solidFill>
                <a:srgbClr val="878787"/>
              </a:solidFill>
              <a:round/>
            </a:ln>
          </c:spPr>
        </c:majorGridlines>
        <c:numFmt formatCode="0.0\x"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3597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6</xdr:col>
      <xdr:colOff>97920</xdr:colOff>
      <xdr:row>39</xdr:row>
      <xdr:rowOff>22320</xdr:rowOff>
    </xdr:to>
    <xdr:graphicFrame>
      <xdr:nvGraphicFramePr>
        <xdr:cNvPr id="0" name="Chart 1"/>
        <xdr:cNvGraphicFramePr/>
      </xdr:nvGraphicFramePr>
      <xdr:xfrm>
        <a:off x="211320" y="5153040"/>
        <a:ext cx="46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24</xdr:row>
      <xdr:rowOff>0</xdr:rowOff>
    </xdr:from>
    <xdr:to>
      <xdr:col>10</xdr:col>
      <xdr:colOff>98280</xdr:colOff>
      <xdr:row>39</xdr:row>
      <xdr:rowOff>22320</xdr:rowOff>
    </xdr:to>
    <xdr:graphicFrame>
      <xdr:nvGraphicFramePr>
        <xdr:cNvPr id="1" name="Chart 2"/>
        <xdr:cNvGraphicFramePr/>
      </xdr:nvGraphicFramePr>
      <xdr:xfrm>
        <a:off x="3876840" y="5153040"/>
        <a:ext cx="46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41</xdr:row>
      <xdr:rowOff>0</xdr:rowOff>
    </xdr:from>
    <xdr:to>
      <xdr:col>6</xdr:col>
      <xdr:colOff>97920</xdr:colOff>
      <xdr:row>56</xdr:row>
      <xdr:rowOff>22320</xdr:rowOff>
    </xdr:to>
    <xdr:graphicFrame>
      <xdr:nvGraphicFramePr>
        <xdr:cNvPr id="2" name="Chart 3"/>
        <xdr:cNvGraphicFramePr/>
      </xdr:nvGraphicFramePr>
      <xdr:xfrm>
        <a:off x="211320" y="8391600"/>
        <a:ext cx="46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41</xdr:row>
      <xdr:rowOff>0</xdr:rowOff>
    </xdr:from>
    <xdr:to>
      <xdr:col>10</xdr:col>
      <xdr:colOff>98280</xdr:colOff>
      <xdr:row>56</xdr:row>
      <xdr:rowOff>22320</xdr:rowOff>
    </xdr:to>
    <xdr:graphicFrame>
      <xdr:nvGraphicFramePr>
        <xdr:cNvPr id="3" name="Chart 4"/>
        <xdr:cNvGraphicFramePr/>
      </xdr:nvGraphicFramePr>
      <xdr:xfrm>
        <a:off x="3876840" y="8391600"/>
        <a:ext cx="467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8" min="3" style="0" width="18"/>
  </cols>
  <sheetData>
    <row r="1" customFormat="false" ht="31.5" hidden="false" customHeight="true" outlineLevel="0" collapsed="false">
      <c r="A1" s="1" t="s">
        <v>0</v>
      </c>
      <c r="B1" s="1"/>
      <c r="C1" s="1"/>
      <c r="D1" s="1"/>
      <c r="E1" s="1"/>
      <c r="F1" s="1"/>
      <c r="G1" s="1"/>
      <c r="H1" s="1"/>
    </row>
    <row r="3" customFormat="false" ht="15" hidden="false" customHeight="false" outlineLevel="0" collapsed="false">
      <c r="B3" s="2" t="s">
        <v>1</v>
      </c>
    </row>
    <row r="4" customFormat="false" ht="15" hidden="false" customHeight="false" outlineLevel="0" collapsed="false">
      <c r="B4" s="3" t="s">
        <v>2</v>
      </c>
    </row>
    <row r="6" customFormat="false" ht="18.75" hidden="false" customHeight="true" outlineLevel="0" collapsed="false">
      <c r="B6" s="4" t="s">
        <v>3</v>
      </c>
      <c r="C6" s="4"/>
      <c r="D6" s="4"/>
      <c r="E6" s="4"/>
      <c r="F6" s="4"/>
      <c r="G6" s="4"/>
      <c r="H6" s="4"/>
    </row>
    <row r="7" customFormat="false" ht="15" hidden="false" customHeight="true" outlineLevel="0" collapsed="false">
      <c r="B7" s="5" t="s">
        <v>4</v>
      </c>
      <c r="C7" s="5"/>
      <c r="D7" s="5"/>
      <c r="E7" s="5"/>
      <c r="F7" s="5"/>
      <c r="G7" s="5"/>
      <c r="H7" s="5"/>
    </row>
    <row r="8" customFormat="false" ht="15" hidden="false" customHeight="false" outlineLevel="0" collapsed="false">
      <c r="B8" s="5"/>
      <c r="C8" s="5"/>
      <c r="D8" s="5"/>
      <c r="E8" s="5"/>
      <c r="F8" s="5"/>
      <c r="G8" s="5"/>
      <c r="H8" s="5"/>
    </row>
    <row r="9" customFormat="false" ht="15" hidden="false" customHeight="false" outlineLevel="0" collapsed="false">
      <c r="B9" s="5"/>
      <c r="C9" s="5"/>
      <c r="D9" s="5"/>
      <c r="E9" s="5"/>
      <c r="F9" s="5"/>
      <c r="G9" s="5"/>
      <c r="H9" s="5"/>
    </row>
    <row r="11" customFormat="false" ht="18.75" hidden="false" customHeight="true" outlineLevel="0" collapsed="false">
      <c r="B11" s="4" t="s">
        <v>5</v>
      </c>
      <c r="C11" s="4"/>
      <c r="D11" s="4"/>
      <c r="E11" s="4"/>
      <c r="F11" s="4"/>
      <c r="G11" s="4"/>
      <c r="H11" s="4"/>
    </row>
    <row r="12" customFormat="false" ht="30" hidden="false" customHeight="true" outlineLevel="0" collapsed="false">
      <c r="B12" s="6" t="s">
        <v>6</v>
      </c>
      <c r="C12" s="5" t="s">
        <v>7</v>
      </c>
      <c r="D12" s="5"/>
      <c r="E12" s="5"/>
      <c r="F12" s="5"/>
      <c r="G12" s="5"/>
      <c r="H12" s="5"/>
    </row>
    <row r="13" customFormat="false" ht="30" hidden="false" customHeight="true" outlineLevel="0" collapsed="false">
      <c r="B13" s="6" t="s">
        <v>8</v>
      </c>
      <c r="C13" s="5" t="s">
        <v>9</v>
      </c>
      <c r="D13" s="5"/>
      <c r="E13" s="5"/>
      <c r="F13" s="5"/>
      <c r="G13" s="5"/>
      <c r="H13" s="5"/>
    </row>
    <row r="14" customFormat="false" ht="30" hidden="false" customHeight="true" outlineLevel="0" collapsed="false">
      <c r="B14" s="6" t="s">
        <v>10</v>
      </c>
      <c r="C14" s="5" t="s">
        <v>11</v>
      </c>
      <c r="D14" s="5"/>
      <c r="E14" s="5"/>
      <c r="F14" s="5"/>
      <c r="G14" s="5"/>
      <c r="H14" s="5"/>
    </row>
    <row r="15" customFormat="false" ht="30" hidden="false" customHeight="true" outlineLevel="0" collapsed="false">
      <c r="B15" s="6" t="s">
        <v>12</v>
      </c>
      <c r="C15" s="5" t="s">
        <v>13</v>
      </c>
      <c r="D15" s="5"/>
      <c r="E15" s="5"/>
      <c r="F15" s="5"/>
      <c r="G15" s="5"/>
      <c r="H15" s="5"/>
    </row>
    <row r="16" customFormat="false" ht="30" hidden="false" customHeight="true" outlineLevel="0" collapsed="false">
      <c r="B16" s="6" t="s">
        <v>14</v>
      </c>
      <c r="C16" s="5" t="s">
        <v>15</v>
      </c>
      <c r="D16" s="5"/>
      <c r="E16" s="5"/>
      <c r="F16" s="5"/>
      <c r="G16" s="5"/>
      <c r="H16" s="5"/>
    </row>
    <row r="17" customFormat="false" ht="30" hidden="false" customHeight="true" outlineLevel="0" collapsed="false">
      <c r="B17" s="6" t="s">
        <v>16</v>
      </c>
      <c r="C17" s="5" t="s">
        <v>17</v>
      </c>
      <c r="D17" s="5"/>
      <c r="E17" s="5"/>
      <c r="F17" s="5"/>
      <c r="G17" s="5"/>
      <c r="H17" s="5"/>
    </row>
    <row r="19" customFormat="false" ht="18.75" hidden="false" customHeight="true" outlineLevel="0" collapsed="false">
      <c r="B19" s="4" t="s">
        <v>18</v>
      </c>
      <c r="C19" s="4"/>
      <c r="D19" s="4"/>
      <c r="E19" s="4"/>
      <c r="F19" s="4"/>
      <c r="G19" s="4"/>
      <c r="H19" s="4"/>
    </row>
    <row r="20" customFormat="false" ht="25.5" hidden="false" customHeight="true" outlineLevel="0" collapsed="false">
      <c r="B20" s="7" t="s">
        <v>19</v>
      </c>
      <c r="C20" s="5" t="s">
        <v>20</v>
      </c>
      <c r="D20" s="5"/>
      <c r="E20" s="5"/>
      <c r="F20" s="5"/>
      <c r="G20" s="5"/>
      <c r="H20" s="5"/>
    </row>
    <row r="21" customFormat="false" ht="25.5" hidden="false" customHeight="true" outlineLevel="0" collapsed="false">
      <c r="B21" s="7" t="s">
        <v>19</v>
      </c>
      <c r="C21" s="5" t="s">
        <v>21</v>
      </c>
      <c r="D21" s="5"/>
      <c r="E21" s="5"/>
      <c r="F21" s="5"/>
      <c r="G21" s="5"/>
      <c r="H21" s="5"/>
    </row>
    <row r="22" customFormat="false" ht="25.5" hidden="false" customHeight="true" outlineLevel="0" collapsed="false">
      <c r="B22" s="7" t="s">
        <v>19</v>
      </c>
      <c r="C22" s="5" t="s">
        <v>22</v>
      </c>
      <c r="D22" s="5"/>
      <c r="E22" s="5"/>
      <c r="F22" s="5"/>
      <c r="G22" s="5"/>
      <c r="H22" s="5"/>
    </row>
    <row r="23" customFormat="false" ht="25.5" hidden="false" customHeight="true" outlineLevel="0" collapsed="false">
      <c r="B23" s="7" t="s">
        <v>19</v>
      </c>
      <c r="C23" s="5" t="s">
        <v>23</v>
      </c>
      <c r="D23" s="5"/>
      <c r="E23" s="5"/>
      <c r="F23" s="5"/>
      <c r="G23" s="5"/>
      <c r="H23" s="5"/>
    </row>
    <row r="25" customFormat="false" ht="18.75" hidden="false" customHeight="true" outlineLevel="0" collapsed="false">
      <c r="B25" s="4" t="s">
        <v>24</v>
      </c>
      <c r="C25" s="4"/>
      <c r="D25" s="4"/>
      <c r="E25" s="4"/>
      <c r="F25" s="4"/>
      <c r="G25" s="4"/>
      <c r="H25" s="4"/>
    </row>
    <row r="26" customFormat="false" ht="15" hidden="false" customHeight="true" outlineLevel="0" collapsed="false">
      <c r="B26" s="8" t="s">
        <v>25</v>
      </c>
      <c r="C26" s="5" t="s">
        <v>26</v>
      </c>
      <c r="D26" s="5"/>
      <c r="E26" s="5"/>
      <c r="F26" s="5"/>
      <c r="G26" s="5"/>
      <c r="H26" s="5"/>
    </row>
    <row r="27" customFormat="false" ht="15" hidden="false" customHeight="true" outlineLevel="0" collapsed="false">
      <c r="B27" s="9" t="s">
        <v>27</v>
      </c>
      <c r="C27" s="5" t="s">
        <v>28</v>
      </c>
      <c r="D27" s="5"/>
      <c r="E27" s="5"/>
      <c r="F27" s="5"/>
      <c r="G27" s="5"/>
      <c r="H27" s="5"/>
    </row>
    <row r="28" customFormat="false" ht="15" hidden="false" customHeight="true" outlineLevel="0" collapsed="false">
      <c r="B28" s="10" t="s">
        <v>29</v>
      </c>
      <c r="C28" s="5" t="s">
        <v>30</v>
      </c>
      <c r="D28" s="5"/>
      <c r="E28" s="5"/>
      <c r="F28" s="5"/>
      <c r="G28" s="5"/>
      <c r="H28" s="5"/>
    </row>
    <row r="29" customFormat="false" ht="15" hidden="false" customHeight="true" outlineLevel="0" collapsed="false">
      <c r="B29" s="11" t="s">
        <v>31</v>
      </c>
      <c r="C29" s="5" t="s">
        <v>32</v>
      </c>
      <c r="D29" s="5"/>
      <c r="E29" s="5"/>
      <c r="F29" s="5"/>
      <c r="G29" s="5"/>
      <c r="H29" s="5"/>
    </row>
    <row r="31" customFormat="false" ht="18.75" hidden="false" customHeight="true" outlineLevel="0" collapsed="false">
      <c r="B31" s="4" t="s">
        <v>33</v>
      </c>
      <c r="C31" s="4"/>
      <c r="D31" s="4"/>
      <c r="E31" s="4"/>
      <c r="F31" s="4"/>
      <c r="G31" s="4"/>
      <c r="H31" s="4"/>
    </row>
    <row r="32" customFormat="false" ht="27.75" hidden="false" customHeight="true" outlineLevel="0" collapsed="false">
      <c r="B32" s="7" t="s">
        <v>19</v>
      </c>
      <c r="C32" s="5" t="s">
        <v>34</v>
      </c>
      <c r="D32" s="5"/>
      <c r="E32" s="5"/>
      <c r="F32" s="5"/>
      <c r="G32" s="5"/>
      <c r="H32" s="5"/>
    </row>
    <row r="33" customFormat="false" ht="27.75" hidden="false" customHeight="true" outlineLevel="0" collapsed="false">
      <c r="B33" s="7" t="s">
        <v>19</v>
      </c>
      <c r="C33" s="5" t="s">
        <v>35</v>
      </c>
      <c r="D33" s="5"/>
      <c r="E33" s="5"/>
      <c r="F33" s="5"/>
      <c r="G33" s="5"/>
      <c r="H33" s="5"/>
    </row>
    <row r="34" customFormat="false" ht="27.75" hidden="false" customHeight="true" outlineLevel="0" collapsed="false">
      <c r="B34" s="7" t="s">
        <v>19</v>
      </c>
      <c r="C34" s="5" t="s">
        <v>36</v>
      </c>
      <c r="D34" s="5"/>
      <c r="E34" s="5"/>
      <c r="F34" s="5"/>
      <c r="G34" s="5"/>
      <c r="H34" s="5"/>
    </row>
    <row r="35" customFormat="false" ht="27.75" hidden="false" customHeight="true" outlineLevel="0" collapsed="false">
      <c r="B35" s="7" t="s">
        <v>19</v>
      </c>
      <c r="C35" s="5" t="s">
        <v>37</v>
      </c>
      <c r="D35" s="5"/>
      <c r="E35" s="5"/>
      <c r="F35" s="5"/>
      <c r="G35" s="5"/>
      <c r="H35" s="5"/>
    </row>
    <row r="36" customFormat="false" ht="27.75" hidden="false" customHeight="true" outlineLevel="0" collapsed="false">
      <c r="B36" s="7" t="s">
        <v>19</v>
      </c>
      <c r="C36" s="5" t="s">
        <v>38</v>
      </c>
      <c r="D36" s="5"/>
      <c r="E36" s="5"/>
      <c r="F36" s="5"/>
      <c r="G36" s="5"/>
      <c r="H36" s="5"/>
    </row>
  </sheetData>
  <mergeCells count="26">
    <mergeCell ref="A1:H1"/>
    <mergeCell ref="B6:H6"/>
    <mergeCell ref="B7:H9"/>
    <mergeCell ref="B11:H11"/>
    <mergeCell ref="C12:H12"/>
    <mergeCell ref="C13:H13"/>
    <mergeCell ref="C14:H14"/>
    <mergeCell ref="C15:H15"/>
    <mergeCell ref="C16:H16"/>
    <mergeCell ref="C17:H17"/>
    <mergeCell ref="B19:H19"/>
    <mergeCell ref="C20:H20"/>
    <mergeCell ref="C21:H21"/>
    <mergeCell ref="C22:H22"/>
    <mergeCell ref="C23:H23"/>
    <mergeCell ref="B25:H25"/>
    <mergeCell ref="C26:H26"/>
    <mergeCell ref="C27:H27"/>
    <mergeCell ref="C28:H28"/>
    <mergeCell ref="C29:H29"/>
    <mergeCell ref="B31:H31"/>
    <mergeCell ref="C32:H32"/>
    <mergeCell ref="C33:H33"/>
    <mergeCell ref="C34:H34"/>
    <mergeCell ref="C35:H35"/>
    <mergeCell ref="C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5" min="3" style="0" width="14"/>
    <col collapsed="false" customWidth="true" hidden="false" outlineLevel="0" max="6" min="6" style="0" width="11"/>
    <col collapsed="false" customWidth="true" hidden="false" outlineLevel="0" max="7" min="7" style="0" width="48"/>
    <col collapsed="false" customWidth="true" hidden="false" outlineLevel="0" max="8" min="8" style="0" width="3"/>
  </cols>
  <sheetData>
    <row r="1" customFormat="false" ht="30" hidden="false" customHeight="true" outlineLevel="0" collapsed="false">
      <c r="A1" s="1" t="s">
        <v>39</v>
      </c>
      <c r="B1" s="1"/>
      <c r="C1" s="1"/>
      <c r="D1" s="1"/>
      <c r="E1" s="1"/>
      <c r="F1" s="1"/>
      <c r="G1" s="1"/>
      <c r="H1" s="1"/>
    </row>
    <row r="3" customFormat="false" ht="15" hidden="false" customHeight="false" outlineLevel="0" collapsed="false">
      <c r="B3" s="12" t="s">
        <v>40</v>
      </c>
    </row>
    <row r="5" customFormat="false" ht="15" hidden="false" customHeight="true" outlineLevel="0" collapsed="false">
      <c r="B5" s="13" t="s">
        <v>41</v>
      </c>
      <c r="C5" s="14" t="s">
        <v>42</v>
      </c>
      <c r="E5" s="15" t="s">
        <v>43</v>
      </c>
      <c r="F5" s="15"/>
      <c r="G5" s="15"/>
      <c r="H5" s="15"/>
    </row>
    <row r="7" customFormat="false" ht="18.75" hidden="false" customHeight="true" outlineLevel="0" collapsed="false">
      <c r="B7" s="4" t="s">
        <v>44</v>
      </c>
      <c r="C7" s="4"/>
      <c r="D7" s="4"/>
      <c r="E7" s="4"/>
      <c r="F7" s="4"/>
      <c r="G7" s="4"/>
      <c r="H7" s="4"/>
    </row>
    <row r="8" customFormat="false" ht="30" hidden="false" customHeight="true" outlineLevel="0" collapsed="false">
      <c r="B8" s="16" t="s">
        <v>45</v>
      </c>
      <c r="C8" s="16" t="s">
        <v>42</v>
      </c>
      <c r="D8" s="16" t="s">
        <v>46</v>
      </c>
      <c r="E8" s="16" t="s">
        <v>47</v>
      </c>
      <c r="F8" s="16" t="s">
        <v>48</v>
      </c>
      <c r="G8" s="16" t="s">
        <v>49</v>
      </c>
    </row>
    <row r="9" customFormat="false" ht="30" hidden="false" customHeight="true" outlineLevel="0" collapsed="false">
      <c r="B9" s="17" t="s">
        <v>50</v>
      </c>
      <c r="C9" s="18" t="n">
        <v>0.07</v>
      </c>
      <c r="D9" s="18" t="n">
        <v>0.11</v>
      </c>
      <c r="E9" s="18" t="n">
        <v>0.02</v>
      </c>
      <c r="F9" s="19" t="s">
        <v>51</v>
      </c>
      <c r="G9" s="20" t="s">
        <v>52</v>
      </c>
      <c r="H9" s="20"/>
    </row>
    <row r="10" customFormat="false" ht="30" hidden="false" customHeight="true" outlineLevel="0" collapsed="false">
      <c r="B10" s="17" t="s">
        <v>53</v>
      </c>
      <c r="C10" s="18" t="n">
        <v>0.035</v>
      </c>
      <c r="D10" s="18" t="n">
        <v>0.03</v>
      </c>
      <c r="E10" s="18" t="n">
        <v>0.045</v>
      </c>
      <c r="F10" s="19" t="s">
        <v>51</v>
      </c>
      <c r="G10" s="20" t="s">
        <v>54</v>
      </c>
      <c r="H10" s="20"/>
    </row>
    <row r="11" customFormat="false" ht="30" hidden="false" customHeight="true" outlineLevel="0" collapsed="false">
      <c r="B11" s="17" t="s">
        <v>55</v>
      </c>
      <c r="C11" s="18" t="n">
        <v>0.08</v>
      </c>
      <c r="D11" s="18" t="n">
        <v>0.07</v>
      </c>
      <c r="E11" s="18" t="n">
        <v>0.095</v>
      </c>
      <c r="F11" s="19" t="s">
        <v>51</v>
      </c>
      <c r="G11" s="20" t="s">
        <v>56</v>
      </c>
      <c r="H11" s="20"/>
    </row>
    <row r="12" customFormat="false" ht="30" hidden="false" customHeight="true" outlineLevel="0" collapsed="false">
      <c r="B12" s="17" t="s">
        <v>57</v>
      </c>
      <c r="C12" s="18" t="n">
        <v>0.045</v>
      </c>
      <c r="D12" s="18" t="n">
        <v>0.04</v>
      </c>
      <c r="E12" s="18" t="n">
        <v>0.055</v>
      </c>
      <c r="F12" s="19" t="s">
        <v>51</v>
      </c>
      <c r="G12" s="20" t="s">
        <v>58</v>
      </c>
      <c r="H12" s="20"/>
    </row>
    <row r="13" customFormat="false" ht="30" hidden="false" customHeight="true" outlineLevel="0" collapsed="false">
      <c r="B13" s="17" t="s">
        <v>59</v>
      </c>
      <c r="C13" s="18" t="n">
        <v>0.06</v>
      </c>
      <c r="D13" s="18" t="n">
        <v>0.055</v>
      </c>
      <c r="E13" s="18" t="n">
        <v>0.07</v>
      </c>
      <c r="F13" s="19" t="s">
        <v>51</v>
      </c>
      <c r="G13" s="20" t="s">
        <v>60</v>
      </c>
      <c r="H13" s="20"/>
    </row>
    <row r="14" customFormat="false" ht="30" hidden="false" customHeight="true" outlineLevel="0" collapsed="false">
      <c r="B14" s="17" t="s">
        <v>61</v>
      </c>
      <c r="C14" s="18" t="n">
        <v>0.055</v>
      </c>
      <c r="D14" s="18" t="n">
        <v>0.045</v>
      </c>
      <c r="E14" s="18" t="n">
        <v>0.035</v>
      </c>
      <c r="F14" s="19" t="s">
        <v>51</v>
      </c>
      <c r="G14" s="20" t="s">
        <v>62</v>
      </c>
      <c r="H14" s="20"/>
    </row>
    <row r="15" customFormat="false" ht="30" hidden="false" customHeight="true" outlineLevel="0" collapsed="false">
      <c r="B15" s="17" t="s">
        <v>63</v>
      </c>
      <c r="C15" s="18" t="n">
        <v>0.01</v>
      </c>
      <c r="D15" s="18" t="n">
        <v>0.02</v>
      </c>
      <c r="E15" s="18" t="n">
        <v>-0.01</v>
      </c>
      <c r="F15" s="19" t="s">
        <v>51</v>
      </c>
      <c r="G15" s="20" t="s">
        <v>64</v>
      </c>
      <c r="H15" s="20"/>
    </row>
    <row r="17" customFormat="false" ht="18.75" hidden="false" customHeight="true" outlineLevel="0" collapsed="false">
      <c r="B17" s="4" t="s">
        <v>65</v>
      </c>
      <c r="C17" s="4"/>
      <c r="D17" s="4"/>
      <c r="E17" s="4"/>
      <c r="F17" s="4"/>
      <c r="G17" s="4"/>
      <c r="H17" s="4"/>
    </row>
    <row r="18" customFormat="false" ht="30" hidden="false" customHeight="true" outlineLevel="0" collapsed="false">
      <c r="B18" s="16" t="s">
        <v>45</v>
      </c>
      <c r="C18" s="16" t="s">
        <v>66</v>
      </c>
      <c r="D18" s="16"/>
      <c r="E18" s="16"/>
      <c r="F18" s="16" t="s">
        <v>48</v>
      </c>
      <c r="G18" s="16" t="s">
        <v>49</v>
      </c>
    </row>
    <row r="19" customFormat="false" ht="30" hidden="false" customHeight="true" outlineLevel="0" collapsed="false">
      <c r="B19" s="17" t="s">
        <v>67</v>
      </c>
      <c r="C19" s="21" t="n">
        <v>165000</v>
      </c>
      <c r="F19" s="19" t="s">
        <v>68</v>
      </c>
      <c r="G19" s="20" t="s">
        <v>69</v>
      </c>
      <c r="H19" s="20"/>
    </row>
    <row r="20" customFormat="false" ht="30" hidden="false" customHeight="true" outlineLevel="0" collapsed="false">
      <c r="B20" s="17" t="s">
        <v>70</v>
      </c>
      <c r="C20" s="22" t="n">
        <v>2026</v>
      </c>
      <c r="F20" s="19" t="s">
        <v>71</v>
      </c>
      <c r="G20" s="20" t="s">
        <v>72</v>
      </c>
      <c r="H20" s="20"/>
    </row>
    <row r="21" customFormat="false" ht="30" hidden="false" customHeight="true" outlineLevel="0" collapsed="false">
      <c r="B21" s="17" t="s">
        <v>73</v>
      </c>
      <c r="C21" s="23" t="n">
        <v>4</v>
      </c>
      <c r="F21" s="19" t="s">
        <v>74</v>
      </c>
      <c r="G21" s="20" t="s">
        <v>75</v>
      </c>
      <c r="H21" s="20"/>
    </row>
    <row r="22" customFormat="false" ht="30" hidden="false" customHeight="true" outlineLevel="0" collapsed="false">
      <c r="B22" s="17" t="s">
        <v>76</v>
      </c>
      <c r="C22" s="22" t="n">
        <v>18</v>
      </c>
      <c r="F22" s="19" t="s">
        <v>77</v>
      </c>
      <c r="G22" s="20" t="s">
        <v>78</v>
      </c>
      <c r="H22" s="20"/>
    </row>
    <row r="23" customFormat="false" ht="30" hidden="false" customHeight="true" outlineLevel="0" collapsed="false">
      <c r="B23" s="17" t="s">
        <v>79</v>
      </c>
      <c r="C23" s="22" t="n">
        <v>6</v>
      </c>
      <c r="F23" s="19" t="s">
        <v>80</v>
      </c>
      <c r="G23" s="20" t="s">
        <v>81</v>
      </c>
      <c r="H23" s="20"/>
    </row>
    <row r="24" customFormat="false" ht="30" hidden="false" customHeight="true" outlineLevel="0" collapsed="false">
      <c r="B24" s="17" t="s">
        <v>82</v>
      </c>
      <c r="C24" s="18" t="n">
        <v>0.1</v>
      </c>
      <c r="F24" s="19" t="s">
        <v>51</v>
      </c>
      <c r="G24" s="20" t="s">
        <v>83</v>
      </c>
      <c r="H24" s="20"/>
    </row>
    <row r="25" customFormat="false" ht="30" hidden="false" customHeight="true" outlineLevel="0" collapsed="false">
      <c r="B25" s="17" t="s">
        <v>84</v>
      </c>
      <c r="C25" s="18" t="n">
        <v>0.25</v>
      </c>
      <c r="F25" s="19" t="s">
        <v>51</v>
      </c>
      <c r="G25" s="20" t="s">
        <v>85</v>
      </c>
      <c r="H25" s="20"/>
    </row>
    <row r="26" customFormat="false" ht="30" hidden="false" customHeight="true" outlineLevel="0" collapsed="false">
      <c r="B26" s="17" t="s">
        <v>86</v>
      </c>
      <c r="C26" s="22" t="n">
        <v>5</v>
      </c>
      <c r="F26" s="19" t="s">
        <v>80</v>
      </c>
      <c r="G26" s="20" t="s">
        <v>87</v>
      </c>
      <c r="H26" s="20"/>
    </row>
    <row r="28" customFormat="false" ht="18.75" hidden="false" customHeight="true" outlineLevel="0" collapsed="false">
      <c r="B28" s="4" t="s">
        <v>88</v>
      </c>
      <c r="C28" s="4"/>
      <c r="D28" s="4"/>
      <c r="E28" s="4"/>
      <c r="F28" s="4"/>
      <c r="G28" s="4"/>
      <c r="H28" s="4"/>
    </row>
    <row r="29" customFormat="false" ht="30" hidden="false" customHeight="true" outlineLevel="0" collapsed="false">
      <c r="B29" s="16" t="s">
        <v>89</v>
      </c>
      <c r="C29" s="16" t="s">
        <v>90</v>
      </c>
      <c r="D29" s="16"/>
      <c r="E29" s="16"/>
      <c r="F29" s="16"/>
      <c r="G29" s="16" t="s">
        <v>91</v>
      </c>
    </row>
    <row r="30" customFormat="false" ht="24" hidden="false" customHeight="true" outlineLevel="0" collapsed="false">
      <c r="B30" s="17" t="s">
        <v>92</v>
      </c>
      <c r="C30" s="24" t="s">
        <v>93</v>
      </c>
      <c r="D30" s="24"/>
      <c r="E30" s="24"/>
      <c r="G30" s="20" t="s">
        <v>94</v>
      </c>
      <c r="H30" s="20"/>
    </row>
    <row r="31" customFormat="false" ht="24" hidden="false" customHeight="true" outlineLevel="0" collapsed="false">
      <c r="B31" s="17" t="s">
        <v>95</v>
      </c>
      <c r="C31" s="24" t="s">
        <v>96</v>
      </c>
      <c r="D31" s="24"/>
      <c r="E31" s="24"/>
      <c r="G31" s="20" t="s">
        <v>97</v>
      </c>
      <c r="H31" s="20"/>
    </row>
    <row r="32" customFormat="false" ht="24" hidden="false" customHeight="true" outlineLevel="0" collapsed="false">
      <c r="B32" s="17" t="s">
        <v>98</v>
      </c>
      <c r="C32" s="24" t="s">
        <v>99</v>
      </c>
      <c r="D32" s="24"/>
      <c r="E32" s="24"/>
      <c r="G32" s="20" t="s">
        <v>100</v>
      </c>
      <c r="H32" s="20"/>
    </row>
    <row r="33" customFormat="false" ht="24" hidden="false" customHeight="true" outlineLevel="0" collapsed="false">
      <c r="B33" s="17" t="s">
        <v>101</v>
      </c>
      <c r="C33" s="24" t="s">
        <v>102</v>
      </c>
      <c r="D33" s="24"/>
      <c r="E33" s="24"/>
      <c r="G33" s="20" t="s">
        <v>103</v>
      </c>
      <c r="H33" s="20"/>
    </row>
    <row r="34" customFormat="false" ht="24" hidden="false" customHeight="true" outlineLevel="0" collapsed="false">
      <c r="B34" s="17" t="s">
        <v>104</v>
      </c>
      <c r="C34" s="24" t="s">
        <v>105</v>
      </c>
      <c r="D34" s="24"/>
      <c r="E34" s="24"/>
      <c r="G34" s="20" t="s">
        <v>106</v>
      </c>
      <c r="H34" s="20"/>
    </row>
    <row r="35" customFormat="false" ht="24" hidden="false" customHeight="true" outlineLevel="0" collapsed="false">
      <c r="B35" s="17" t="s">
        <v>107</v>
      </c>
      <c r="C35" s="24" t="s">
        <v>108</v>
      </c>
      <c r="D35" s="24"/>
      <c r="E35" s="24"/>
      <c r="G35" s="20" t="s">
        <v>109</v>
      </c>
      <c r="H35" s="20"/>
    </row>
    <row r="37" customFormat="false" ht="18.75" hidden="false" customHeight="true" outlineLevel="0" collapsed="false">
      <c r="B37" s="4" t="s">
        <v>110</v>
      </c>
      <c r="C37" s="4"/>
      <c r="D37" s="4"/>
      <c r="E37" s="4"/>
      <c r="F37" s="4"/>
      <c r="G37" s="4"/>
      <c r="H37" s="4"/>
    </row>
    <row r="38" customFormat="false" ht="30" hidden="false" customHeight="true" outlineLevel="0" collapsed="false">
      <c r="B38" s="16" t="s">
        <v>45</v>
      </c>
      <c r="C38" s="16" t="s">
        <v>111</v>
      </c>
      <c r="D38" s="16"/>
      <c r="E38" s="16"/>
      <c r="F38" s="16" t="s">
        <v>48</v>
      </c>
      <c r="G38" s="16" t="s">
        <v>112</v>
      </c>
    </row>
    <row r="39" customFormat="false" ht="18" hidden="false" customHeight="true" outlineLevel="0" collapsed="false">
      <c r="B39" s="17" t="s">
        <v>50</v>
      </c>
      <c r="C39" s="25" t="n">
        <f aca="false">INDEX(C9:E9,MATCH($C$5,$C$8:$E$8,0))</f>
        <v>0.07</v>
      </c>
      <c r="F39" s="19" t="s">
        <v>51</v>
      </c>
      <c r="G39" s="26" t="s">
        <v>113</v>
      </c>
    </row>
    <row r="40" customFormat="false" ht="18" hidden="false" customHeight="true" outlineLevel="0" collapsed="false">
      <c r="B40" s="17" t="s">
        <v>53</v>
      </c>
      <c r="C40" s="25" t="n">
        <f aca="false">INDEX(C10:E10,MATCH($C$5,$C$8:$E$8,0))</f>
        <v>0.035</v>
      </c>
      <c r="F40" s="19" t="s">
        <v>51</v>
      </c>
      <c r="G40" s="26" t="s">
        <v>113</v>
      </c>
    </row>
    <row r="41" customFormat="false" ht="18" hidden="false" customHeight="true" outlineLevel="0" collapsed="false">
      <c r="B41" s="17" t="s">
        <v>55</v>
      </c>
      <c r="C41" s="25" t="n">
        <f aca="false">INDEX(C11:E11,MATCH($C$5,$C$8:$E$8,0))</f>
        <v>0.08</v>
      </c>
      <c r="F41" s="19" t="s">
        <v>51</v>
      </c>
      <c r="G41" s="26" t="s">
        <v>113</v>
      </c>
    </row>
    <row r="42" customFormat="false" ht="18" hidden="false" customHeight="true" outlineLevel="0" collapsed="false">
      <c r="B42" s="17" t="s">
        <v>57</v>
      </c>
      <c r="C42" s="25" t="n">
        <f aca="false">INDEX(C12:E12,MATCH($C$5,$C$8:$E$8,0))</f>
        <v>0.045</v>
      </c>
      <c r="F42" s="19" t="s">
        <v>51</v>
      </c>
      <c r="G42" s="26" t="s">
        <v>113</v>
      </c>
    </row>
    <row r="43" customFormat="false" ht="18" hidden="false" customHeight="true" outlineLevel="0" collapsed="false">
      <c r="B43" s="17" t="s">
        <v>59</v>
      </c>
      <c r="C43" s="25" t="n">
        <f aca="false">INDEX(C13:E13,MATCH($C$5,$C$8:$E$8,0))</f>
        <v>0.06</v>
      </c>
      <c r="F43" s="19" t="s">
        <v>51</v>
      </c>
      <c r="G43" s="26" t="s">
        <v>113</v>
      </c>
    </row>
    <row r="44" customFormat="false" ht="18" hidden="false" customHeight="true" outlineLevel="0" collapsed="false">
      <c r="B44" s="17" t="s">
        <v>61</v>
      </c>
      <c r="C44" s="25" t="n">
        <f aca="false">INDEX(C14:E14,MATCH($C$5,$C$8:$E$8,0))</f>
        <v>0.055</v>
      </c>
      <c r="F44" s="19" t="s">
        <v>51</v>
      </c>
      <c r="G44" s="26" t="s">
        <v>113</v>
      </c>
    </row>
    <row r="45" customFormat="false" ht="18" hidden="false" customHeight="true" outlineLevel="0" collapsed="false">
      <c r="B45" s="17" t="s">
        <v>63</v>
      </c>
      <c r="C45" s="25" t="n">
        <f aca="false">INDEX(C15:E15,MATCH($C$5,$C$8:$E$8,0))</f>
        <v>0.01</v>
      </c>
      <c r="F45" s="19" t="s">
        <v>51</v>
      </c>
      <c r="G45" s="26" t="s">
        <v>113</v>
      </c>
    </row>
  </sheetData>
  <mergeCells count="33">
    <mergeCell ref="A1:H1"/>
    <mergeCell ref="E5:H5"/>
    <mergeCell ref="B7:H7"/>
    <mergeCell ref="G9:H9"/>
    <mergeCell ref="G10:H10"/>
    <mergeCell ref="G11:H11"/>
    <mergeCell ref="G12:H12"/>
    <mergeCell ref="G13:H13"/>
    <mergeCell ref="G14:H14"/>
    <mergeCell ref="G15:H15"/>
    <mergeCell ref="B17:H17"/>
    <mergeCell ref="G19:H19"/>
    <mergeCell ref="G20:H20"/>
    <mergeCell ref="G21:H21"/>
    <mergeCell ref="G22:H22"/>
    <mergeCell ref="G23:H23"/>
    <mergeCell ref="G24:H24"/>
    <mergeCell ref="G25:H25"/>
    <mergeCell ref="G26:H26"/>
    <mergeCell ref="B28:H28"/>
    <mergeCell ref="C30:E30"/>
    <mergeCell ref="G30:H30"/>
    <mergeCell ref="C31:E31"/>
    <mergeCell ref="G31:H31"/>
    <mergeCell ref="C32:E32"/>
    <mergeCell ref="G32:H32"/>
    <mergeCell ref="C33:E33"/>
    <mergeCell ref="G33:H33"/>
    <mergeCell ref="C34:E34"/>
    <mergeCell ref="G34:H34"/>
    <mergeCell ref="C35:E35"/>
    <mergeCell ref="G35:H35"/>
    <mergeCell ref="B37:H37"/>
  </mergeCells>
  <dataValidations count="1">
    <dataValidation allowBlank="false" errorStyle="stop" operator="between" showDropDown="false" showErrorMessage="false" showInputMessage="false" sqref="C5" type="list">
      <formula1>"Base Case,Upside,Downside"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7" min="3" style="0" width="19"/>
  </cols>
  <sheetData>
    <row r="1" customFormat="false" ht="30" hidden="false" customHeight="true" outlineLevel="0" collapsed="false">
      <c r="A1" s="1" t="s">
        <v>114</v>
      </c>
      <c r="B1" s="1"/>
      <c r="C1" s="1"/>
      <c r="D1" s="1"/>
      <c r="E1" s="1"/>
      <c r="F1" s="1"/>
      <c r="G1" s="1"/>
    </row>
    <row r="3" customFormat="false" ht="15" hidden="false" customHeight="true" outlineLevel="0" collapsed="false">
      <c r="B3" s="15" t="s">
        <v>115</v>
      </c>
      <c r="C3" s="15"/>
      <c r="D3" s="15"/>
      <c r="E3" s="15"/>
      <c r="F3" s="15"/>
      <c r="G3" s="15"/>
    </row>
    <row r="4" customFormat="false" ht="15" hidden="false" customHeight="false" outlineLevel="0" collapsed="false">
      <c r="B4" s="15"/>
      <c r="C4" s="15"/>
      <c r="D4" s="15"/>
      <c r="E4" s="15"/>
      <c r="F4" s="15"/>
      <c r="G4" s="15"/>
    </row>
    <row r="6" customFormat="false" ht="39.75" hidden="false" customHeight="true" outlineLevel="0" collapsed="false">
      <c r="B6" s="16" t="s">
        <v>116</v>
      </c>
      <c r="C6" s="16" t="s">
        <v>117</v>
      </c>
      <c r="D6" s="16" t="s">
        <v>118</v>
      </c>
      <c r="E6" s="16" t="s">
        <v>98</v>
      </c>
      <c r="F6" s="16" t="s">
        <v>119</v>
      </c>
      <c r="G6" s="16" t="s">
        <v>120</v>
      </c>
    </row>
    <row r="7" customFormat="false" ht="18.75" hidden="false" customHeight="true" outlineLevel="0" collapsed="false">
      <c r="B7" s="4" t="s">
        <v>121</v>
      </c>
      <c r="C7" s="4"/>
      <c r="D7" s="4"/>
      <c r="E7" s="4"/>
      <c r="F7" s="4"/>
      <c r="G7" s="4"/>
    </row>
    <row r="8" customFormat="false" ht="24" hidden="false" customHeight="true" outlineLevel="0" collapsed="false">
      <c r="B8" s="17" t="s">
        <v>122</v>
      </c>
      <c r="C8" s="27" t="n">
        <v>480</v>
      </c>
      <c r="D8" s="27" t="n">
        <v>340</v>
      </c>
      <c r="E8" s="27" t="n">
        <v>210</v>
      </c>
      <c r="F8" s="27" t="n">
        <v>165</v>
      </c>
      <c r="G8" s="28" t="n">
        <f aca="false">SUM(C8:F8)</f>
        <v>1195</v>
      </c>
    </row>
    <row r="9" customFormat="false" ht="24" hidden="false" customHeight="true" outlineLevel="0" collapsed="false">
      <c r="B9" s="17" t="s">
        <v>123</v>
      </c>
      <c r="C9" s="29" t="n">
        <v>1150</v>
      </c>
      <c r="D9" s="29" t="n">
        <v>2600</v>
      </c>
      <c r="E9" s="29" t="n">
        <v>78</v>
      </c>
      <c r="F9" s="29" t="n">
        <v>45</v>
      </c>
      <c r="G9" s="30" t="n">
        <f aca="false">SUM(C9:F9)</f>
        <v>3873</v>
      </c>
    </row>
    <row r="10" customFormat="false" ht="24" hidden="false" customHeight="true" outlineLevel="0" collapsed="false">
      <c r="B10" s="17" t="s">
        <v>124</v>
      </c>
      <c r="C10" s="27" t="n">
        <v>167</v>
      </c>
      <c r="D10" s="27" t="n">
        <v>561</v>
      </c>
      <c r="E10" s="27" t="n">
        <v>607</v>
      </c>
      <c r="F10" s="27" t="n">
        <v>855</v>
      </c>
      <c r="G10" s="28" t="n">
        <f aca="false">SUM(C10:F10)</f>
        <v>2190</v>
      </c>
    </row>
    <row r="11" customFormat="false" ht="24" hidden="false" customHeight="true" outlineLevel="0" collapsed="false">
      <c r="B11" s="17" t="s">
        <v>125</v>
      </c>
      <c r="C11" s="29" t="n">
        <v>180</v>
      </c>
      <c r="D11" s="29" t="n">
        <v>55</v>
      </c>
      <c r="E11" s="29" t="n">
        <v>9</v>
      </c>
      <c r="F11" s="29" t="n">
        <v>5</v>
      </c>
      <c r="G11" s="30" t="n">
        <f aca="false">SUM(C11:F11)</f>
        <v>249</v>
      </c>
    </row>
    <row r="12" customFormat="false" ht="24" hidden="false" customHeight="true" outlineLevel="0" collapsed="false">
      <c r="B12" s="17" t="s">
        <v>126</v>
      </c>
      <c r="C12" s="29" t="n">
        <v>42</v>
      </c>
      <c r="D12" s="29" t="n">
        <v>58</v>
      </c>
      <c r="E12" s="29" t="n">
        <v>30</v>
      </c>
      <c r="F12" s="29" t="n">
        <v>22</v>
      </c>
      <c r="G12" s="30" t="n">
        <f aca="false">SUM(C12:F12)</f>
        <v>152</v>
      </c>
    </row>
    <row r="13" customFormat="false" ht="24" hidden="false" customHeight="true" outlineLevel="0" collapsed="false">
      <c r="B13" s="17" t="s">
        <v>127</v>
      </c>
      <c r="C13" s="31" t="n">
        <v>1.3</v>
      </c>
      <c r="D13" s="31" t="n">
        <v>1.5</v>
      </c>
      <c r="E13" s="31" t="n">
        <v>0.8</v>
      </c>
      <c r="F13" s="31" t="n">
        <v>0.9</v>
      </c>
    </row>
    <row r="14" customFormat="false" ht="24" hidden="false" customHeight="true" outlineLevel="0" collapsed="false">
      <c r="B14" s="17" t="s">
        <v>128</v>
      </c>
      <c r="C14" s="31" t="n">
        <v>1.4</v>
      </c>
      <c r="D14" s="31" t="n">
        <v>1</v>
      </c>
      <c r="E14" s="31" t="n">
        <v>1.5</v>
      </c>
      <c r="F14" s="31" t="n">
        <v>1.2</v>
      </c>
    </row>
    <row r="15" customFormat="false" ht="24" hidden="false" customHeight="true" outlineLevel="0" collapsed="false">
      <c r="B15" s="17" t="s">
        <v>129</v>
      </c>
      <c r="C15" s="32" t="n">
        <v>0.55</v>
      </c>
      <c r="D15" s="32" t="n">
        <v>0.36</v>
      </c>
      <c r="E15" s="32" t="n">
        <v>0.46</v>
      </c>
      <c r="F15" s="32" t="n">
        <v>0.4</v>
      </c>
    </row>
    <row r="16" customFormat="false" ht="24" hidden="false" customHeight="true" outlineLevel="0" collapsed="false">
      <c r="B16" s="17" t="s">
        <v>130</v>
      </c>
      <c r="C16" s="32"/>
      <c r="D16" s="32"/>
      <c r="E16" s="32"/>
      <c r="F16" s="32"/>
    </row>
    <row r="17" customFormat="false" ht="24" hidden="false" customHeight="true" outlineLevel="0" collapsed="false">
      <c r="B17" s="17" t="s">
        <v>131</v>
      </c>
      <c r="C17" s="29" t="n">
        <v>4</v>
      </c>
      <c r="D17" s="29" t="n">
        <v>8</v>
      </c>
      <c r="E17" s="29" t="n">
        <v>6</v>
      </c>
      <c r="F17" s="29" t="n">
        <v>9</v>
      </c>
    </row>
    <row r="19" customFormat="false" ht="18.75" hidden="false" customHeight="true" outlineLevel="0" collapsed="false">
      <c r="B19" s="4" t="s">
        <v>132</v>
      </c>
      <c r="C19" s="4"/>
      <c r="D19" s="4"/>
      <c r="E19" s="4"/>
      <c r="F19" s="4"/>
      <c r="G19" s="4"/>
    </row>
    <row r="20" customFormat="false" ht="19.5" hidden="false" customHeight="true" outlineLevel="0" collapsed="false">
      <c r="B20" s="17" t="s">
        <v>133</v>
      </c>
      <c r="C20" s="33" t="n">
        <f aca="false">IF(C16="",Sel_GrowthRate,C16)</f>
        <v>0.07</v>
      </c>
      <c r="D20" s="33" t="n">
        <f aca="false">IF(D16="",Sel_GrowthRate,D16)</f>
        <v>0.07</v>
      </c>
      <c r="E20" s="33" t="n">
        <f aca="false">IF(E16="",Sel_GrowthRate,E16)</f>
        <v>0.07</v>
      </c>
      <c r="F20" s="33" t="n">
        <f aca="false">IF(F16="",Sel_GrowthRate,F16)</f>
        <v>0.07</v>
      </c>
    </row>
    <row r="21" customFormat="false" ht="19.5" hidden="false" customHeight="true" outlineLevel="0" collapsed="false">
      <c r="B21" s="17" t="s">
        <v>134</v>
      </c>
      <c r="C21" s="34" t="n">
        <f aca="false">C10*C11/1000</f>
        <v>30.06</v>
      </c>
      <c r="D21" s="34" t="n">
        <f aca="false">D10*D11/1000</f>
        <v>30.855</v>
      </c>
      <c r="E21" s="34" t="n">
        <f aca="false">E10*E11/1000</f>
        <v>5.463</v>
      </c>
      <c r="F21" s="34" t="n">
        <f aca="false">F10*F11/1000</f>
        <v>4.275</v>
      </c>
      <c r="G21" s="35" t="n">
        <f aca="false">SUM(C21:F21)</f>
        <v>70.653</v>
      </c>
    </row>
    <row r="22" customFormat="false" ht="19.5" hidden="false" customHeight="true" outlineLevel="0" collapsed="false">
      <c r="B22" s="17" t="s">
        <v>135</v>
      </c>
      <c r="C22" s="34" t="n">
        <f aca="false">C8*Sel_MktgPct</f>
        <v>16.8</v>
      </c>
      <c r="D22" s="34" t="n">
        <f aca="false">D8*Sel_MktgPct</f>
        <v>11.9</v>
      </c>
      <c r="E22" s="34" t="n">
        <f aca="false">E8*Sel_MktgPct</f>
        <v>7.35</v>
      </c>
      <c r="F22" s="34" t="n">
        <f aca="false">F8*Sel_MktgPct</f>
        <v>5.775</v>
      </c>
      <c r="G22" s="35" t="n">
        <f aca="false">SUM(C22:F22)</f>
        <v>41.825</v>
      </c>
    </row>
    <row r="23" customFormat="false" ht="19.5" hidden="false" customHeight="true" outlineLevel="0" collapsed="false">
      <c r="B23" s="17" t="s">
        <v>136</v>
      </c>
      <c r="C23" s="35" t="n">
        <f aca="false">C21+C22</f>
        <v>46.86</v>
      </c>
      <c r="D23" s="35" t="n">
        <f aca="false">D21+D22</f>
        <v>42.755</v>
      </c>
      <c r="E23" s="35" t="n">
        <f aca="false">E21+E22</f>
        <v>12.813</v>
      </c>
      <c r="F23" s="35" t="n">
        <f aca="false">F21+F22</f>
        <v>10.05</v>
      </c>
      <c r="G23" s="35" t="n">
        <f aca="false">SUM(C23:F23)</f>
        <v>112.478</v>
      </c>
    </row>
    <row r="24" customFormat="false" ht="19.5" hidden="false" customHeight="true" outlineLevel="0" collapsed="false">
      <c r="B24" s="17" t="s">
        <v>137</v>
      </c>
      <c r="C24" s="34" t="n">
        <f aca="false">C8*Sel_ITPct*C13</f>
        <v>49.92</v>
      </c>
      <c r="D24" s="34" t="n">
        <f aca="false">D8*Sel_ITPct*D13</f>
        <v>40.8</v>
      </c>
      <c r="E24" s="34" t="n">
        <f aca="false">E8*Sel_ITPct*E13</f>
        <v>13.44</v>
      </c>
      <c r="F24" s="34" t="n">
        <f aca="false">F8*Sel_ITPct*F13</f>
        <v>11.88</v>
      </c>
      <c r="G24" s="35" t="n">
        <f aca="false">SUM(C24:F24)</f>
        <v>116.04</v>
      </c>
    </row>
    <row r="25" customFormat="false" ht="19.5" hidden="false" customHeight="true" outlineLevel="0" collapsed="false">
      <c r="B25" s="17" t="s">
        <v>138</v>
      </c>
      <c r="C25" s="34" t="n">
        <f aca="false">C8*Sel_CompliancePct*C14</f>
        <v>30.24</v>
      </c>
      <c r="D25" s="34" t="n">
        <f aca="false">D8*Sel_CompliancePct*D14</f>
        <v>15.3</v>
      </c>
      <c r="E25" s="34" t="n">
        <f aca="false">E8*Sel_CompliancePct*E14</f>
        <v>14.175</v>
      </c>
      <c r="F25" s="34" t="n">
        <f aca="false">F8*Sel_CompliancePct*F14</f>
        <v>8.91</v>
      </c>
      <c r="G25" s="35" t="n">
        <f aca="false">SUM(C25:F25)</f>
        <v>68.625</v>
      </c>
    </row>
    <row r="26" customFormat="false" ht="19.5" hidden="false" customHeight="true" outlineLevel="0" collapsed="false">
      <c r="B26" s="17" t="s">
        <v>139</v>
      </c>
      <c r="C26" s="34" t="n">
        <f aca="false">C12*CostPerFTE/1000000</f>
        <v>6.93</v>
      </c>
      <c r="D26" s="34" t="n">
        <f aca="false">D12*CostPerFTE/1000000</f>
        <v>9.57</v>
      </c>
      <c r="E26" s="34" t="n">
        <f aca="false">E12*CostPerFTE/1000000</f>
        <v>4.95</v>
      </c>
      <c r="F26" s="34" t="n">
        <f aca="false">F12*CostPerFTE/1000000</f>
        <v>3.63</v>
      </c>
      <c r="G26" s="35" t="n">
        <f aca="false">SUM(C26:F26)</f>
        <v>25.08</v>
      </c>
    </row>
    <row r="27" customFormat="false" ht="19.5" hidden="false" customHeight="true" outlineLevel="0" collapsed="false">
      <c r="B27" s="17" t="s">
        <v>140</v>
      </c>
      <c r="C27" s="34" t="n">
        <f aca="false">C8*Sel_OverheadPct</f>
        <v>28.8</v>
      </c>
      <c r="D27" s="34" t="n">
        <f aca="false">D8*Sel_OverheadPct</f>
        <v>20.4</v>
      </c>
      <c r="E27" s="34" t="n">
        <f aca="false">E8*Sel_OverheadPct</f>
        <v>12.6</v>
      </c>
      <c r="F27" s="34" t="n">
        <f aca="false">F8*Sel_OverheadPct</f>
        <v>9.9</v>
      </c>
      <c r="G27" s="35" t="n">
        <f aca="false">SUM(C27:F27)</f>
        <v>71.7</v>
      </c>
    </row>
    <row r="28" customFormat="false" ht="19.5" hidden="false" customHeight="true" outlineLevel="0" collapsed="false">
      <c r="B28" s="17" t="s">
        <v>141</v>
      </c>
      <c r="C28" s="35" t="n">
        <f aca="false">C23+C24+C25+C26+C27</f>
        <v>162.75</v>
      </c>
      <c r="D28" s="35" t="n">
        <f aca="false">D23+D24+D25+D26+D27</f>
        <v>128.825</v>
      </c>
      <c r="E28" s="35" t="n">
        <f aca="false">E23+E24+E25+E26+E27</f>
        <v>57.978</v>
      </c>
      <c r="F28" s="35" t="n">
        <f aca="false">F23+F24+F25+F26+F27</f>
        <v>44.37</v>
      </c>
      <c r="G28" s="35" t="n">
        <f aca="false">SUM(C28:F28)</f>
        <v>393.923</v>
      </c>
    </row>
    <row r="29" customFormat="false" ht="19.5" hidden="false" customHeight="true" outlineLevel="0" collapsed="false">
      <c r="B29" s="17" t="s">
        <v>142</v>
      </c>
      <c r="C29" s="34" t="n">
        <f aca="false">C8*C15</f>
        <v>264</v>
      </c>
      <c r="D29" s="34" t="n">
        <f aca="false">D8*D15</f>
        <v>122.4</v>
      </c>
      <c r="E29" s="34" t="n">
        <f aca="false">E8*E15</f>
        <v>96.6</v>
      </c>
      <c r="F29" s="34" t="n">
        <f aca="false">F8*F15</f>
        <v>66</v>
      </c>
      <c r="G29" s="35" t="n">
        <f aca="false">SUM(C29:F29)</f>
        <v>549</v>
      </c>
    </row>
    <row r="30" customFormat="false" ht="19.5" hidden="false" customHeight="true" outlineLevel="0" collapsed="false">
      <c r="B30" s="17" t="s">
        <v>143</v>
      </c>
      <c r="C30" s="35" t="n">
        <f aca="false">C29-C28</f>
        <v>101.25</v>
      </c>
      <c r="D30" s="35" t="n">
        <f aca="false">D29-D28</f>
        <v>-6.42500000000003</v>
      </c>
      <c r="E30" s="35" t="n">
        <f aca="false">E29-E28</f>
        <v>38.622</v>
      </c>
      <c r="F30" s="35" t="n">
        <f aca="false">F29-F28</f>
        <v>21.63</v>
      </c>
      <c r="G30" s="35" t="n">
        <f aca="false">SUM(C30:F30)</f>
        <v>155.077</v>
      </c>
    </row>
    <row r="31" customFormat="false" ht="19.5" hidden="false" customHeight="true" outlineLevel="0" collapsed="false">
      <c r="B31" s="17" t="s">
        <v>144</v>
      </c>
      <c r="C31" s="36" t="n">
        <f aca="false">C30/C8</f>
        <v>0.2109375</v>
      </c>
      <c r="D31" s="36" t="n">
        <f aca="false">D30/D8</f>
        <v>-0.0188970588235295</v>
      </c>
      <c r="E31" s="36" t="n">
        <f aca="false">E30/E8</f>
        <v>0.183914285714286</v>
      </c>
      <c r="F31" s="36" t="n">
        <f aca="false">F30/F8</f>
        <v>0.131090909090909</v>
      </c>
      <c r="G31" s="36" t="n">
        <f aca="false">G30/G8</f>
        <v>0.129771548117155</v>
      </c>
    </row>
    <row r="32" customFormat="false" ht="19.5" hidden="false" customHeight="true" outlineLevel="0" collapsed="false">
      <c r="B32" s="17" t="s">
        <v>145</v>
      </c>
      <c r="C32" s="33" t="n">
        <f aca="false">C28/C8</f>
        <v>0.3390625</v>
      </c>
      <c r="D32" s="33" t="n">
        <f aca="false">D28/D8</f>
        <v>0.37889705882353</v>
      </c>
      <c r="E32" s="33" t="n">
        <f aca="false">E28/E8</f>
        <v>0.276085714285714</v>
      </c>
      <c r="F32" s="33" t="n">
        <f aca="false">F28/F8</f>
        <v>0.268909090909091</v>
      </c>
      <c r="G32" s="36" t="n">
        <f aca="false">G28/G8</f>
        <v>0.329642677824268</v>
      </c>
    </row>
    <row r="33" customFormat="false" ht="19.5" hidden="false" customHeight="true" outlineLevel="0" collapsed="false">
      <c r="B33" s="17" t="s">
        <v>146</v>
      </c>
      <c r="C33" s="37" t="n">
        <f aca="false">IF(C17="",AvgTenure,C17)</f>
        <v>4</v>
      </c>
      <c r="D33" s="37" t="n">
        <f aca="false">IF(D17="",AvgTenure,D17)</f>
        <v>8</v>
      </c>
      <c r="E33" s="37" t="n">
        <f aca="false">IF(E17="",AvgTenure,E17)</f>
        <v>6</v>
      </c>
      <c r="F33" s="37" t="n">
        <f aca="false">IF(F17="",AvgTenure,F17)</f>
        <v>9</v>
      </c>
    </row>
    <row r="34" customFormat="false" ht="19.5" hidden="false" customHeight="true" outlineLevel="0" collapsed="false">
      <c r="B34" s="17" t="s">
        <v>147</v>
      </c>
      <c r="C34" s="38" t="n">
        <f aca="false">C8*1000000/(C9*1000)</f>
        <v>417.391304347826</v>
      </c>
      <c r="D34" s="38" t="n">
        <f aca="false">D8*1000000/(D9*1000)</f>
        <v>130.769230769231</v>
      </c>
      <c r="E34" s="38" t="n">
        <f aca="false">E8*1000000/(E9*1000)</f>
        <v>2692.30769230769</v>
      </c>
      <c r="F34" s="38" t="n">
        <f aca="false">F8*1000000/(F9*1000)</f>
        <v>3666.66666666667</v>
      </c>
      <c r="G34" s="39" t="n">
        <f aca="false">G8*1000000/(G9*1000)</f>
        <v>308.54634650142</v>
      </c>
    </row>
    <row r="35" customFormat="false" ht="19.5" hidden="false" customHeight="true" outlineLevel="0" collapsed="false">
      <c r="B35" s="17" t="s">
        <v>148</v>
      </c>
      <c r="C35" s="38" t="n">
        <f aca="false">C34*C15*C33</f>
        <v>918.260869565217</v>
      </c>
      <c r="D35" s="38" t="n">
        <f aca="false">D34*D15*D33</f>
        <v>376.615384615385</v>
      </c>
      <c r="E35" s="38" t="n">
        <f aca="false">E34*E15*E33</f>
        <v>7430.76923076923</v>
      </c>
      <c r="F35" s="38" t="n">
        <f aca="false">F34*F15*F33</f>
        <v>13200</v>
      </c>
      <c r="G35" s="28" t="n">
        <f aca="false">SUMPRODUCT(C35:F35,C9:F9)/G9</f>
        <v>828.5050348567</v>
      </c>
    </row>
    <row r="36" customFormat="false" ht="19.5" hidden="false" customHeight="true" outlineLevel="0" collapsed="false">
      <c r="B36" s="17" t="s">
        <v>149</v>
      </c>
      <c r="C36" s="40" t="n">
        <f aca="false">C35/C10</f>
        <v>5.49856808122885</v>
      </c>
      <c r="D36" s="40" t="n">
        <f aca="false">D35/D10</f>
        <v>0.671328671328671</v>
      </c>
      <c r="E36" s="40" t="n">
        <f aca="false">E35/E10</f>
        <v>12.2417944493727</v>
      </c>
      <c r="F36" s="40" t="n">
        <f aca="false">F35/F10</f>
        <v>15.4385964912281</v>
      </c>
      <c r="G36" s="41" t="n">
        <f aca="false">G35/(SUM(C21:F21)*1000000/SUM(C11:F11)/1000)</f>
        <v>2.91987252741311</v>
      </c>
    </row>
    <row r="37" customFormat="false" ht="19.5" hidden="false" customHeight="true" outlineLevel="0" collapsed="false">
      <c r="B37" s="17" t="s">
        <v>150</v>
      </c>
      <c r="C37" s="42" t="n">
        <f aca="false">C10/((C34*C15)/12)</f>
        <v>8.72954545454546</v>
      </c>
      <c r="D37" s="42" t="n">
        <f aca="false">D10/((D34*D15)/12)</f>
        <v>143</v>
      </c>
      <c r="E37" s="42" t="n">
        <f aca="false">E10/((E34*E15)/12)</f>
        <v>5.88149068322981</v>
      </c>
      <c r="F37" s="42" t="n">
        <f aca="false">F10/((F34*F15)/12)</f>
        <v>6.99545454545455</v>
      </c>
      <c r="G37" s="43" t="n">
        <f aca="false">(SUM(C21:F21)*1000000/SUM(C11:F11)/1000)/((G34*(G29/G8))/12)</f>
        <v>24.0208105866087</v>
      </c>
    </row>
    <row r="39" customFormat="false" ht="30" hidden="false" customHeight="true" outlineLevel="0" collapsed="false">
      <c r="B39" s="20" t="s">
        <v>151</v>
      </c>
      <c r="C39" s="20"/>
      <c r="D39" s="20"/>
      <c r="E39" s="20"/>
      <c r="F39" s="20"/>
      <c r="G39" s="20"/>
    </row>
    <row r="40" customFormat="false" ht="15" hidden="false" customHeight="false" outlineLevel="0" collapsed="false">
      <c r="B40" s="20"/>
      <c r="C40" s="20"/>
      <c r="D40" s="20"/>
      <c r="E40" s="20"/>
      <c r="F40" s="20"/>
      <c r="G40" s="20"/>
    </row>
  </sheetData>
  <mergeCells count="5">
    <mergeCell ref="A1:G1"/>
    <mergeCell ref="B3:G4"/>
    <mergeCell ref="B7:G7"/>
    <mergeCell ref="B19:G19"/>
    <mergeCell ref="B39:G40"/>
  </mergeCells>
  <conditionalFormatting sqref="C31:F31">
    <cfRule type="cellIs" priority="2" operator="lessThan" aboveAverage="0" equalAverage="0" bottom="0" percent="0" rank="0" text="" dxfId="0">
      <formula>0.05</formula>
    </cfRule>
    <cfRule type="cellIs" priority="3" operator="between" aboveAverage="0" equalAverage="0" bottom="0" percent="0" rank="0" text="" dxfId="1">
      <formula>0.05</formula>
      <formula>0.15</formula>
    </cfRule>
    <cfRule type="cellIs" priority="4" operator="greaterThan" aboveAverage="0" equalAverage="0" bottom="0" percent="0" rank="0" text="" dxfId="2">
      <formula>0.15</formula>
    </cfRule>
  </conditionalFormatting>
  <conditionalFormatting sqref="C36:G36">
    <cfRule type="cellIs" priority="5" operator="lessThan" aboveAverage="0" equalAverage="0" bottom="0" percent="0" rank="0" text="" dxfId="0">
      <formula>3</formula>
    </cfRule>
    <cfRule type="cellIs" priority="6" operator="between" aboveAverage="0" equalAverage="0" bottom="0" percent="0" rank="0" text="" dxfId="1">
      <formula>3</formula>
      <formula>4</formula>
    </cfRule>
    <cfRule type="cellIs" priority="7" operator="greaterThanOrEqual" aboveAverage="0" equalAverage="0" bottom="0" percent="0" rank="0" text="" dxfId="2">
      <formula>4</formula>
    </cfRule>
  </conditionalFormatting>
  <conditionalFormatting sqref="C37:G37">
    <cfRule type="cellIs" priority="8" operator="lessThanOrEqual" aboveAverage="0" equalAverage="0" bottom="0" percent="0" rank="0" text="" dxfId="2">
      <formula>18</formula>
    </cfRule>
    <cfRule type="cellIs" priority="9" operator="between" aboveAverage="0" equalAverage="0" bottom="0" percent="0" rank="0" text="" dxfId="1">
      <formula>18</formula>
      <formula>24</formula>
    </cfRule>
    <cfRule type="cellIs" priority="10" operator="greaterThan" aboveAverage="0" equalAverage="0" bottom="0" percent="0" rank="0" text="" dxfId="0">
      <formula>24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3"/>
    <col collapsed="false" customWidth="true" hidden="false" outlineLevel="0" max="7" min="4" style="0" width="12"/>
    <col collapsed="false" customWidth="true" hidden="false" outlineLevel="0" max="11" min="8" style="0" width="13"/>
    <col collapsed="false" customWidth="true" hidden="false" outlineLevel="0" max="12" min="12" style="0" width="11"/>
    <col collapsed="false" customWidth="true" hidden="false" outlineLevel="0" max="13" min="13" style="0" width="12"/>
  </cols>
  <sheetData>
    <row r="1" customFormat="false" ht="30" hidden="false" customHeight="true" outlineLevel="0" collapsed="false">
      <c r="A1" s="1" t="s">
        <v>152</v>
      </c>
      <c r="B1" s="1"/>
      <c r="C1" s="1"/>
      <c r="D1" s="1"/>
      <c r="E1" s="1"/>
      <c r="F1" s="1"/>
      <c r="G1" s="1"/>
      <c r="H1" s="1"/>
      <c r="I1" s="1"/>
      <c r="J1" s="1"/>
      <c r="K1" s="1"/>
      <c r="L1" s="1"/>
      <c r="M1" s="1"/>
    </row>
    <row r="3" customFormat="false" ht="15" hidden="false" customHeight="false" outlineLevel="0" collapsed="false">
      <c r="B3" s="3" t="s">
        <v>153</v>
      </c>
    </row>
    <row r="5" customFormat="false" ht="30" hidden="false" customHeight="true" outlineLevel="0" collapsed="false">
      <c r="B5" s="16" t="s">
        <v>154</v>
      </c>
      <c r="C5" s="16" t="s">
        <v>155</v>
      </c>
      <c r="D5" s="16" t="s">
        <v>156</v>
      </c>
      <c r="E5" s="16" t="s">
        <v>157</v>
      </c>
      <c r="F5" s="16" t="s">
        <v>158</v>
      </c>
      <c r="G5" s="16" t="s">
        <v>159</v>
      </c>
      <c r="H5" s="16" t="s">
        <v>160</v>
      </c>
      <c r="I5" s="16" t="s">
        <v>161</v>
      </c>
      <c r="J5" s="16" t="s">
        <v>162</v>
      </c>
      <c r="K5" s="16" t="s">
        <v>163</v>
      </c>
      <c r="L5" s="16" t="s">
        <v>164</v>
      </c>
      <c r="M5" s="16" t="s">
        <v>165</v>
      </c>
    </row>
    <row r="6" customFormat="false" ht="18.75" hidden="false" customHeight="true" outlineLevel="0" collapsed="false">
      <c r="B6" s="4" t="s">
        <v>166</v>
      </c>
      <c r="C6" s="4"/>
      <c r="D6" s="4"/>
      <c r="E6" s="4"/>
      <c r="F6" s="4"/>
      <c r="G6" s="4"/>
      <c r="H6" s="4"/>
      <c r="I6" s="4"/>
      <c r="J6" s="4"/>
      <c r="K6" s="4"/>
      <c r="L6" s="4"/>
      <c r="M6" s="4"/>
    </row>
    <row r="7" customFormat="false" ht="19.4" hidden="false" customHeight="true" outlineLevel="0" collapsed="false">
      <c r="B7" s="44" t="s">
        <v>167</v>
      </c>
      <c r="D7" s="45" t="n">
        <v>0.25</v>
      </c>
      <c r="E7" s="45" t="n">
        <v>0.25</v>
      </c>
      <c r="F7" s="45" t="n">
        <v>0.25</v>
      </c>
      <c r="G7" s="45" t="n">
        <v>0.25</v>
      </c>
      <c r="H7" s="20" t="s">
        <v>168</v>
      </c>
      <c r="I7" s="20"/>
      <c r="J7" s="20"/>
      <c r="K7" s="20"/>
      <c r="L7" s="20"/>
      <c r="M7" s="20"/>
    </row>
    <row r="9" customFormat="false" ht="18.75" hidden="false" customHeight="true" outlineLevel="0" collapsed="false">
      <c r="B9" s="4" t="s">
        <v>169</v>
      </c>
      <c r="C9" s="4"/>
      <c r="D9" s="4"/>
      <c r="E9" s="4"/>
      <c r="F9" s="4"/>
      <c r="G9" s="4"/>
      <c r="H9" s="4"/>
      <c r="I9" s="4"/>
      <c r="J9" s="4"/>
      <c r="K9" s="4"/>
      <c r="L9" s="4"/>
      <c r="M9" s="4"/>
    </row>
    <row r="10" customFormat="false" ht="21.75" hidden="false" customHeight="true" outlineLevel="0" collapsed="false">
      <c r="B10" s="17" t="s">
        <v>170</v>
      </c>
      <c r="C10" s="46" t="n">
        <f aca="false">'Product Mix'!$G$23</f>
        <v>112.478</v>
      </c>
      <c r="D10" s="47" t="n">
        <f aca="false">$C10*D$7</f>
        <v>28.1195</v>
      </c>
      <c r="E10" s="47" t="n">
        <f aca="false">$C10*E$7</f>
        <v>28.1195</v>
      </c>
      <c r="F10" s="47" t="n">
        <f aca="false">$C10*F$7</f>
        <v>28.1195</v>
      </c>
      <c r="G10" s="47" t="n">
        <f aca="false">$C10*G$7</f>
        <v>28.1195</v>
      </c>
      <c r="H10" s="48" t="n">
        <v>0</v>
      </c>
      <c r="I10" s="48" t="n">
        <v>0</v>
      </c>
      <c r="J10" s="48" t="n">
        <v>0</v>
      </c>
      <c r="K10" s="48" t="n">
        <v>0</v>
      </c>
      <c r="L10" s="49" t="n">
        <f aca="false">(H10+I10+J10+K10)-C10</f>
        <v>-112.478</v>
      </c>
      <c r="M10" s="50" t="str">
        <f aca="false">IF(SUM(H10:K10)=0,"No actuals yet",IF(L10/C10&gt;0.1,"Over Budget",IF(L10/C10&lt;-0.1,"Under-spend",IF(ABS(L10/C10)&lt;=0.05,"On Track","Watch"))))</f>
        <v>No actuals yet</v>
      </c>
    </row>
    <row r="11" customFormat="false" ht="21.75" hidden="false" customHeight="true" outlineLevel="0" collapsed="false">
      <c r="B11" s="17" t="s">
        <v>171</v>
      </c>
      <c r="C11" s="46" t="n">
        <f aca="false">'Product Mix'!$G$24</f>
        <v>116.04</v>
      </c>
      <c r="D11" s="47" t="n">
        <f aca="false">$C11*D$7</f>
        <v>29.01</v>
      </c>
      <c r="E11" s="47" t="n">
        <f aca="false">$C11*E$7</f>
        <v>29.01</v>
      </c>
      <c r="F11" s="47" t="n">
        <f aca="false">$C11*F$7</f>
        <v>29.01</v>
      </c>
      <c r="G11" s="47" t="n">
        <f aca="false">$C11*G$7</f>
        <v>29.01</v>
      </c>
      <c r="H11" s="48" t="n">
        <v>0</v>
      </c>
      <c r="I11" s="48" t="n">
        <v>0</v>
      </c>
      <c r="J11" s="48" t="n">
        <v>0</v>
      </c>
      <c r="K11" s="48" t="n">
        <v>0</v>
      </c>
      <c r="L11" s="49" t="n">
        <f aca="false">(H11+I11+J11+K11)-C11</f>
        <v>-116.04</v>
      </c>
      <c r="M11" s="50" t="str">
        <f aca="false">IF(SUM(H11:K11)=0,"No actuals yet",IF(L11/C11&gt;0.1,"Over Budget",IF(L11/C11&lt;-0.1,"Under-spend",IF(ABS(L11/C11)&lt;=0.05,"On Track","Watch"))))</f>
        <v>No actuals yet</v>
      </c>
    </row>
    <row r="12" customFormat="false" ht="21.75" hidden="false" customHeight="true" outlineLevel="0" collapsed="false">
      <c r="B12" s="17" t="s">
        <v>172</v>
      </c>
      <c r="C12" s="46" t="n">
        <f aca="false">'Product Mix'!$G$25</f>
        <v>68.625</v>
      </c>
      <c r="D12" s="47" t="n">
        <f aca="false">$C12*D$7</f>
        <v>17.15625</v>
      </c>
      <c r="E12" s="47" t="n">
        <f aca="false">$C12*E$7</f>
        <v>17.15625</v>
      </c>
      <c r="F12" s="47" t="n">
        <f aca="false">$C12*F$7</f>
        <v>17.15625</v>
      </c>
      <c r="G12" s="47" t="n">
        <f aca="false">$C12*G$7</f>
        <v>17.15625</v>
      </c>
      <c r="H12" s="48" t="n">
        <v>0</v>
      </c>
      <c r="I12" s="48" t="n">
        <v>0</v>
      </c>
      <c r="J12" s="48" t="n">
        <v>0</v>
      </c>
      <c r="K12" s="48" t="n">
        <v>0</v>
      </c>
      <c r="L12" s="49" t="n">
        <f aca="false">(H12+I12+J12+K12)-C12</f>
        <v>-68.625</v>
      </c>
      <c r="M12" s="50" t="str">
        <f aca="false">IF(SUM(H12:K12)=0,"No actuals yet",IF(L12/C12&gt;0.1,"Over Budget",IF(L12/C12&lt;-0.1,"Under-spend",IF(ABS(L12/C12)&lt;=0.05,"On Track","Watch"))))</f>
        <v>No actuals yet</v>
      </c>
    </row>
    <row r="13" customFormat="false" ht="21.75" hidden="false" customHeight="true" outlineLevel="0" collapsed="false">
      <c r="B13" s="17" t="s">
        <v>173</v>
      </c>
      <c r="C13" s="46" t="n">
        <f aca="false">'Product Mix'!$G$26</f>
        <v>25.08</v>
      </c>
      <c r="D13" s="47" t="n">
        <f aca="false">$C13*D$7</f>
        <v>6.27</v>
      </c>
      <c r="E13" s="47" t="n">
        <f aca="false">$C13*E$7</f>
        <v>6.27</v>
      </c>
      <c r="F13" s="47" t="n">
        <f aca="false">$C13*F$7</f>
        <v>6.27</v>
      </c>
      <c r="G13" s="47" t="n">
        <f aca="false">$C13*G$7</f>
        <v>6.27</v>
      </c>
      <c r="H13" s="48" t="n">
        <v>0</v>
      </c>
      <c r="I13" s="48" t="n">
        <v>0</v>
      </c>
      <c r="J13" s="48" t="n">
        <v>0</v>
      </c>
      <c r="K13" s="48" t="n">
        <v>0</v>
      </c>
      <c r="L13" s="49" t="n">
        <f aca="false">(H13+I13+J13+K13)-C13</f>
        <v>-25.08</v>
      </c>
      <c r="M13" s="50" t="str">
        <f aca="false">IF(SUM(H13:K13)=0,"No actuals yet",IF(L13/C13&gt;0.1,"Over Budget",IF(L13/C13&lt;-0.1,"Under-spend",IF(ABS(L13/C13)&lt;=0.05,"On Track","Watch"))))</f>
        <v>No actuals yet</v>
      </c>
    </row>
    <row r="14" customFormat="false" ht="21.75" hidden="false" customHeight="true" outlineLevel="0" collapsed="false">
      <c r="B14" s="17" t="s">
        <v>174</v>
      </c>
      <c r="C14" s="46" t="n">
        <f aca="false">'Product Mix'!$G$27</f>
        <v>71.7</v>
      </c>
      <c r="D14" s="47" t="n">
        <f aca="false">$C14*D$7</f>
        <v>17.925</v>
      </c>
      <c r="E14" s="47" t="n">
        <f aca="false">$C14*E$7</f>
        <v>17.925</v>
      </c>
      <c r="F14" s="47" t="n">
        <f aca="false">$C14*F$7</f>
        <v>17.925</v>
      </c>
      <c r="G14" s="47" t="n">
        <f aca="false">$C14*G$7</f>
        <v>17.925</v>
      </c>
      <c r="H14" s="48" t="n">
        <v>0</v>
      </c>
      <c r="I14" s="48" t="n">
        <v>0</v>
      </c>
      <c r="J14" s="48" t="n">
        <v>0</v>
      </c>
      <c r="K14" s="48" t="n">
        <v>0</v>
      </c>
      <c r="L14" s="49" t="n">
        <f aca="false">(H14+I14+J14+K14)-C14</f>
        <v>-71.7</v>
      </c>
      <c r="M14" s="50" t="str">
        <f aca="false">IF(SUM(H14:K14)=0,"No actuals yet",IF(L14/C14&gt;0.1,"Over Budget",IF(L14/C14&lt;-0.1,"Under-spend",IF(ABS(L14/C14)&lt;=0.05,"On Track","Watch"))))</f>
        <v>No actuals yet</v>
      </c>
    </row>
    <row r="15" customFormat="false" ht="23.85" hidden="false" customHeight="false" outlineLevel="0" collapsed="false">
      <c r="B15" s="17" t="s">
        <v>175</v>
      </c>
      <c r="C15" s="49" t="n">
        <f aca="false">SUM(C10:C14)*0.03</f>
        <v>11.81769</v>
      </c>
    </row>
    <row r="16" customFormat="false" ht="21.75" hidden="false" customHeight="true" outlineLevel="0" collapsed="false">
      <c r="B16" s="51" t="s">
        <v>176</v>
      </c>
      <c r="C16" s="52" t="n">
        <f aca="false">SUM(C10:C15)</f>
        <v>405.74069</v>
      </c>
      <c r="D16" s="52" t="n">
        <f aca="false">SUM(D10:D15)</f>
        <v>98.48075</v>
      </c>
      <c r="E16" s="52" t="n">
        <f aca="false">SUM(E10:E15)</f>
        <v>98.48075</v>
      </c>
      <c r="F16" s="52" t="n">
        <f aca="false">SUM(F10:F15)</f>
        <v>98.48075</v>
      </c>
      <c r="G16" s="52" t="n">
        <f aca="false">SUM(G10:G15)</f>
        <v>98.48075</v>
      </c>
      <c r="H16" s="52" t="n">
        <f aca="false">SUM(H10:H15)</f>
        <v>0</v>
      </c>
      <c r="I16" s="52" t="n">
        <f aca="false">SUM(I10:I15)</f>
        <v>0</v>
      </c>
      <c r="J16" s="52" t="n">
        <f aca="false">SUM(J10:J15)</f>
        <v>0</v>
      </c>
      <c r="K16" s="52" t="n">
        <f aca="false">SUM(K10:K15)</f>
        <v>0</v>
      </c>
      <c r="L16" s="52" t="n">
        <f aca="false">SUM(L10:L15)</f>
        <v>-393.923</v>
      </c>
    </row>
    <row r="18" customFormat="false" ht="18.75" hidden="false" customHeight="true" outlineLevel="0" collapsed="false">
      <c r="B18" s="4" t="s">
        <v>177</v>
      </c>
      <c r="C18" s="4"/>
      <c r="D18" s="4"/>
      <c r="E18" s="4"/>
      <c r="F18" s="4"/>
      <c r="G18" s="4"/>
      <c r="H18" s="4"/>
      <c r="I18" s="4"/>
      <c r="J18" s="4"/>
      <c r="K18" s="4"/>
      <c r="L18" s="4"/>
      <c r="M18" s="4"/>
    </row>
    <row r="19" customFormat="false" ht="15" hidden="false" customHeight="false" outlineLevel="0" collapsed="false">
      <c r="B19" s="53" t="s">
        <v>178</v>
      </c>
      <c r="C19" s="54" t="s">
        <v>179</v>
      </c>
      <c r="D19" s="54"/>
      <c r="E19" s="54"/>
      <c r="F19" s="54"/>
    </row>
    <row r="20" customFormat="false" ht="15" hidden="false" customHeight="false" outlineLevel="0" collapsed="false">
      <c r="B20" s="55" t="s">
        <v>180</v>
      </c>
      <c r="C20" s="54" t="s">
        <v>181</v>
      </c>
      <c r="D20" s="54"/>
      <c r="E20" s="54"/>
      <c r="F20" s="54"/>
    </row>
    <row r="21" customFormat="false" ht="15" hidden="false" customHeight="false" outlineLevel="0" collapsed="false">
      <c r="B21" s="56" t="s">
        <v>182</v>
      </c>
      <c r="C21" s="54" t="s">
        <v>183</v>
      </c>
      <c r="D21" s="54"/>
      <c r="E21" s="54"/>
      <c r="F21" s="54"/>
    </row>
    <row r="22" customFormat="false" ht="15" hidden="false" customHeight="false" outlineLevel="0" collapsed="false">
      <c r="B22" s="55" t="s">
        <v>184</v>
      </c>
      <c r="C22" s="54" t="s">
        <v>185</v>
      </c>
      <c r="D22" s="54"/>
      <c r="E22" s="54"/>
      <c r="F22" s="54"/>
    </row>
  </sheetData>
  <mergeCells count="9">
    <mergeCell ref="A1:M1"/>
    <mergeCell ref="B6:M6"/>
    <mergeCell ref="H7:M7"/>
    <mergeCell ref="B9:M9"/>
    <mergeCell ref="B18:M18"/>
    <mergeCell ref="C19:F19"/>
    <mergeCell ref="C20:F20"/>
    <mergeCell ref="C21:F21"/>
    <mergeCell ref="C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7" min="3" style="0" width="15"/>
    <col collapsed="false" customWidth="true" hidden="false" outlineLevel="0" max="8" min="8" style="0" width="3"/>
  </cols>
  <sheetData>
    <row r="1" customFormat="false" ht="30" hidden="false" customHeight="true" outlineLevel="0" collapsed="false">
      <c r="A1" s="1" t="s">
        <v>186</v>
      </c>
      <c r="B1" s="1"/>
      <c r="C1" s="1"/>
      <c r="D1" s="1"/>
      <c r="E1" s="1"/>
      <c r="F1" s="1"/>
      <c r="G1" s="1"/>
    </row>
    <row r="3" customFormat="false" ht="15" hidden="false" customHeight="true" outlineLevel="0" collapsed="false">
      <c r="B3" s="15" t="s">
        <v>187</v>
      </c>
      <c r="C3" s="15"/>
      <c r="D3" s="15"/>
      <c r="E3" s="15"/>
      <c r="F3" s="15"/>
      <c r="G3" s="15"/>
    </row>
    <row r="4" customFormat="false" ht="15" hidden="false" customHeight="false" outlineLevel="0" collapsed="false">
      <c r="B4" s="15"/>
      <c r="C4" s="15"/>
      <c r="D4" s="15"/>
      <c r="E4" s="15"/>
      <c r="F4" s="15"/>
      <c r="G4" s="15"/>
    </row>
    <row r="6" customFormat="false" ht="18" hidden="false" customHeight="true" outlineLevel="0" collapsed="false">
      <c r="B6" s="3" t="s">
        <v>188</v>
      </c>
      <c r="C6" s="57" t="str">
        <f aca="false">"FY"&amp;(BaseFY+1)</f>
        <v>FY2027</v>
      </c>
      <c r="D6" s="57" t="str">
        <f aca="false">"FY"&amp;(BaseFY+2)</f>
        <v>FY2028</v>
      </c>
      <c r="E6" s="57" t="str">
        <f aca="false">"FY"&amp;(BaseFY+3)</f>
        <v>FY2029</v>
      </c>
      <c r="F6" s="57" t="str">
        <f aca="false">"FY"&amp;(BaseFY+4)</f>
        <v>FY2030</v>
      </c>
      <c r="G6" s="57" t="str">
        <f aca="false">"FY"&amp;(BaseFY+5)</f>
        <v>FY2031</v>
      </c>
    </row>
    <row r="7" customFormat="false" ht="30" hidden="false" customHeight="true" outlineLevel="0" collapsed="false">
      <c r="B7" s="16" t="s">
        <v>116</v>
      </c>
      <c r="C7" s="16" t="s">
        <v>189</v>
      </c>
      <c r="D7" s="16" t="s">
        <v>190</v>
      </c>
      <c r="E7" s="16" t="s">
        <v>191</v>
      </c>
      <c r="F7" s="16" t="s">
        <v>192</v>
      </c>
      <c r="G7" s="16" t="s">
        <v>193</v>
      </c>
    </row>
    <row r="9" customFormat="false" ht="18.75" hidden="false" customHeight="true" outlineLevel="0" collapsed="false">
      <c r="B9" s="58" t="s">
        <v>194</v>
      </c>
      <c r="C9" s="58"/>
      <c r="D9" s="58"/>
      <c r="E9" s="58"/>
      <c r="F9" s="58"/>
      <c r="G9" s="58"/>
    </row>
    <row r="10" customFormat="false" ht="15" hidden="false" customHeight="false" outlineLevel="0" collapsed="false">
      <c r="B10" s="59" t="s">
        <v>195</v>
      </c>
      <c r="C10" s="60" t="n">
        <f aca="false">'Product Mix'!C$8*(1+'Product Mix'!C$19)</f>
        <v>480</v>
      </c>
      <c r="D10" s="47" t="n">
        <f aca="false">C10*(1+'Product Mix'!C$19)</f>
        <v>480</v>
      </c>
      <c r="E10" s="47" t="n">
        <f aca="false">D10*(1+'Product Mix'!C$19)</f>
        <v>480</v>
      </c>
      <c r="F10" s="47" t="n">
        <f aca="false">E10*(1+'Product Mix'!C$19)</f>
        <v>480</v>
      </c>
      <c r="G10" s="47" t="n">
        <f aca="false">F10*(1+'Product Mix'!C$19)</f>
        <v>480</v>
      </c>
    </row>
    <row r="11" customFormat="false" ht="15" hidden="false" customHeight="false" outlineLevel="0" collapsed="false">
      <c r="B11" s="59" t="s">
        <v>145</v>
      </c>
      <c r="C11" s="61" t="n">
        <f aca="false">'Product Mix'!C$32*(1-Sel_OpexEfficiency)</f>
        <v>0.335671875</v>
      </c>
      <c r="D11" s="62" t="n">
        <f aca="false">C11*(1-Sel_OpexEfficiency)</f>
        <v>0.33231515625</v>
      </c>
      <c r="E11" s="62" t="n">
        <f aca="false">D11*(1-Sel_OpexEfficiency)</f>
        <v>0.3289920046875</v>
      </c>
      <c r="F11" s="62" t="n">
        <f aca="false">E11*(1-Sel_OpexEfficiency)</f>
        <v>0.325702084640625</v>
      </c>
      <c r="G11" s="62" t="n">
        <f aca="false">F11*(1-Sel_OpexEfficiency)</f>
        <v>0.322445063794219</v>
      </c>
    </row>
    <row r="12" customFormat="false" ht="15" hidden="false" customHeight="false" outlineLevel="0" collapsed="false">
      <c r="B12" s="59" t="s">
        <v>141</v>
      </c>
      <c r="C12" s="47" t="n">
        <f aca="false">C10*C11</f>
        <v>161.1225</v>
      </c>
      <c r="D12" s="47" t="n">
        <f aca="false">D10*D11</f>
        <v>159.511275</v>
      </c>
      <c r="E12" s="47" t="n">
        <f aca="false">E10*E11</f>
        <v>157.91616225</v>
      </c>
      <c r="F12" s="47" t="n">
        <f aca="false">F10*F11</f>
        <v>156.3370006275</v>
      </c>
      <c r="G12" s="47" t="n">
        <f aca="false">G10*G11</f>
        <v>154.773630621225</v>
      </c>
    </row>
    <row r="13" customFormat="false" ht="15" hidden="false" customHeight="false" outlineLevel="0" collapsed="false">
      <c r="B13" s="59" t="s">
        <v>196</v>
      </c>
      <c r="C13" s="60" t="n">
        <f aca="false">C10*'Product Mix'!C$15</f>
        <v>264</v>
      </c>
      <c r="D13" s="60" t="n">
        <f aca="false">D10*'Product Mix'!C$15</f>
        <v>264</v>
      </c>
      <c r="E13" s="60" t="n">
        <f aca="false">E10*'Product Mix'!C$15</f>
        <v>264</v>
      </c>
      <c r="F13" s="60" t="n">
        <f aca="false">F10*'Product Mix'!C$15</f>
        <v>264</v>
      </c>
      <c r="G13" s="60" t="n">
        <f aca="false">G10*'Product Mix'!C$15</f>
        <v>264</v>
      </c>
    </row>
    <row r="14" customFormat="false" ht="15" hidden="false" customHeight="false" outlineLevel="0" collapsed="false">
      <c r="B14" s="63" t="s">
        <v>143</v>
      </c>
      <c r="C14" s="49" t="n">
        <f aca="false">C13-C12</f>
        <v>102.8775</v>
      </c>
      <c r="D14" s="49" t="n">
        <f aca="false">D13-D12</f>
        <v>104.488725</v>
      </c>
      <c r="E14" s="49" t="n">
        <f aca="false">E13-E12</f>
        <v>106.08383775</v>
      </c>
      <c r="F14" s="49" t="n">
        <f aca="false">F13-F12</f>
        <v>107.6629993725</v>
      </c>
      <c r="G14" s="49" t="n">
        <f aca="false">G13-G12</f>
        <v>109.226369378775</v>
      </c>
    </row>
    <row r="15" customFormat="false" ht="15" hidden="false" customHeight="false" outlineLevel="0" collapsed="false">
      <c r="B15" s="59" t="s">
        <v>144</v>
      </c>
      <c r="C15" s="62" t="n">
        <f aca="false">C14/C10</f>
        <v>0.214328125</v>
      </c>
      <c r="D15" s="62" t="n">
        <f aca="false">D14/D10</f>
        <v>0.21768484375</v>
      </c>
      <c r="E15" s="62" t="n">
        <f aca="false">E14/E10</f>
        <v>0.2210079953125</v>
      </c>
      <c r="F15" s="62" t="n">
        <f aca="false">F14/F10</f>
        <v>0.224297915359375</v>
      </c>
      <c r="G15" s="62" t="n">
        <f aca="false">G14/G10</f>
        <v>0.227554936205781</v>
      </c>
    </row>
    <row r="16" customFormat="false" ht="15" hidden="false" customHeight="false" outlineLevel="0" collapsed="false">
      <c r="B16" s="3" t="s">
        <v>197</v>
      </c>
      <c r="C16" s="64" t="n">
        <f aca="false">NPV(WACC,C14:G14)</f>
        <v>400.93793462383</v>
      </c>
      <c r="D16" s="64"/>
      <c r="E16" s="64"/>
      <c r="F16" s="64"/>
      <c r="G16" s="64"/>
    </row>
    <row r="18" customFormat="false" ht="18.75" hidden="false" customHeight="true" outlineLevel="0" collapsed="false">
      <c r="B18" s="58" t="s">
        <v>198</v>
      </c>
      <c r="C18" s="58"/>
      <c r="D18" s="58"/>
      <c r="E18" s="58"/>
      <c r="F18" s="58"/>
      <c r="G18" s="58"/>
    </row>
    <row r="19" customFormat="false" ht="15" hidden="false" customHeight="false" outlineLevel="0" collapsed="false">
      <c r="B19" s="59" t="s">
        <v>195</v>
      </c>
      <c r="C19" s="60" t="n">
        <f aca="false">'Product Mix'!D$8*(1+'Product Mix'!D$19)</f>
        <v>340</v>
      </c>
      <c r="D19" s="47" t="n">
        <f aca="false">C19*(1+'Product Mix'!D$19)</f>
        <v>340</v>
      </c>
      <c r="E19" s="47" t="n">
        <f aca="false">D19*(1+'Product Mix'!D$19)</f>
        <v>340</v>
      </c>
      <c r="F19" s="47" t="n">
        <f aca="false">E19*(1+'Product Mix'!D$19)</f>
        <v>340</v>
      </c>
      <c r="G19" s="47" t="n">
        <f aca="false">F19*(1+'Product Mix'!D$19)</f>
        <v>340</v>
      </c>
    </row>
    <row r="20" customFormat="false" ht="15" hidden="false" customHeight="false" outlineLevel="0" collapsed="false">
      <c r="B20" s="59" t="s">
        <v>145</v>
      </c>
      <c r="C20" s="61" t="n">
        <f aca="false">'Product Mix'!D$32*(1-Sel_OpexEfficiency)</f>
        <v>0.375108088235294</v>
      </c>
      <c r="D20" s="62" t="n">
        <f aca="false">C20*(1-Sel_OpexEfficiency)</f>
        <v>0.371357007352941</v>
      </c>
      <c r="E20" s="62" t="n">
        <f aca="false">D20*(1-Sel_OpexEfficiency)</f>
        <v>0.367643437279412</v>
      </c>
      <c r="F20" s="62" t="n">
        <f aca="false">E20*(1-Sel_OpexEfficiency)</f>
        <v>0.363967002906618</v>
      </c>
      <c r="G20" s="62" t="n">
        <f aca="false">F20*(1-Sel_OpexEfficiency)</f>
        <v>0.360327332877552</v>
      </c>
    </row>
    <row r="21" customFormat="false" ht="15" hidden="false" customHeight="false" outlineLevel="0" collapsed="false">
      <c r="B21" s="59" t="s">
        <v>141</v>
      </c>
      <c r="C21" s="47" t="n">
        <f aca="false">C19*C20</f>
        <v>127.53675</v>
      </c>
      <c r="D21" s="47" t="n">
        <f aca="false">D19*D20</f>
        <v>126.2613825</v>
      </c>
      <c r="E21" s="47" t="n">
        <f aca="false">E19*E20</f>
        <v>124.998768675</v>
      </c>
      <c r="F21" s="47" t="n">
        <f aca="false">F19*F20</f>
        <v>123.74878098825</v>
      </c>
      <c r="G21" s="47" t="n">
        <f aca="false">G19*G20</f>
        <v>122.511293178368</v>
      </c>
    </row>
    <row r="22" customFormat="false" ht="15" hidden="false" customHeight="false" outlineLevel="0" collapsed="false">
      <c r="B22" s="59" t="s">
        <v>196</v>
      </c>
      <c r="C22" s="60" t="n">
        <f aca="false">C19*'Product Mix'!D$15</f>
        <v>122.4</v>
      </c>
      <c r="D22" s="60" t="n">
        <f aca="false">D19*'Product Mix'!D$15</f>
        <v>122.4</v>
      </c>
      <c r="E22" s="60" t="n">
        <f aca="false">E19*'Product Mix'!D$15</f>
        <v>122.4</v>
      </c>
      <c r="F22" s="60" t="n">
        <f aca="false">F19*'Product Mix'!D$15</f>
        <v>122.4</v>
      </c>
      <c r="G22" s="60" t="n">
        <f aca="false">G19*'Product Mix'!D$15</f>
        <v>122.4</v>
      </c>
    </row>
    <row r="23" customFormat="false" ht="15" hidden="false" customHeight="false" outlineLevel="0" collapsed="false">
      <c r="B23" s="63" t="s">
        <v>143</v>
      </c>
      <c r="C23" s="49" t="n">
        <f aca="false">C22-C21</f>
        <v>-5.13675000000004</v>
      </c>
      <c r="D23" s="49" t="n">
        <f aca="false">D22-D21</f>
        <v>-3.86138250000003</v>
      </c>
      <c r="E23" s="49" t="n">
        <f aca="false">E22-E21</f>
        <v>-2.59876867500003</v>
      </c>
      <c r="F23" s="49" t="n">
        <f aca="false">F22-F21</f>
        <v>-1.34878098825003</v>
      </c>
      <c r="G23" s="49" t="n">
        <f aca="false">G22-G21</f>
        <v>-0.111293178367532</v>
      </c>
    </row>
    <row r="24" customFormat="false" ht="15" hidden="false" customHeight="false" outlineLevel="0" collapsed="false">
      <c r="B24" s="59" t="s">
        <v>144</v>
      </c>
      <c r="C24" s="62" t="n">
        <f aca="false">C23/C19</f>
        <v>-0.0151080882352942</v>
      </c>
      <c r="D24" s="62" t="n">
        <f aca="false">D23/D19</f>
        <v>-0.0113570073529413</v>
      </c>
      <c r="E24" s="62" t="n">
        <f aca="false">E23/E19</f>
        <v>-0.00764343727941186</v>
      </c>
      <c r="F24" s="62" t="n">
        <f aca="false">F23/F19</f>
        <v>-0.00396700290661773</v>
      </c>
      <c r="G24" s="62" t="n">
        <f aca="false">G23/G19</f>
        <v>-0.000327332877551565</v>
      </c>
    </row>
    <row r="25" customFormat="false" ht="15" hidden="false" customHeight="false" outlineLevel="0" collapsed="false">
      <c r="B25" s="3" t="s">
        <v>197</v>
      </c>
      <c r="C25" s="64" t="n">
        <f aca="false">NPV(WACC,C23:G23)</f>
        <v>-10.8038311744061</v>
      </c>
      <c r="D25" s="64"/>
      <c r="E25" s="64"/>
      <c r="F25" s="64"/>
      <c r="G25" s="64"/>
    </row>
    <row r="27" customFormat="false" ht="18.75" hidden="false" customHeight="true" outlineLevel="0" collapsed="false">
      <c r="B27" s="58" t="s">
        <v>199</v>
      </c>
      <c r="C27" s="58"/>
      <c r="D27" s="58"/>
      <c r="E27" s="58"/>
      <c r="F27" s="58"/>
      <c r="G27" s="58"/>
    </row>
    <row r="28" customFormat="false" ht="15" hidden="false" customHeight="false" outlineLevel="0" collapsed="false">
      <c r="B28" s="59" t="s">
        <v>195</v>
      </c>
      <c r="C28" s="60" t="n">
        <f aca="false">'Product Mix'!E$8*(1+'Product Mix'!E$19)</f>
        <v>210</v>
      </c>
      <c r="D28" s="47" t="n">
        <f aca="false">C28*(1+'Product Mix'!E$19)</f>
        <v>210</v>
      </c>
      <c r="E28" s="47" t="n">
        <f aca="false">D28*(1+'Product Mix'!E$19)</f>
        <v>210</v>
      </c>
      <c r="F28" s="47" t="n">
        <f aca="false">E28*(1+'Product Mix'!E$19)</f>
        <v>210</v>
      </c>
      <c r="G28" s="47" t="n">
        <f aca="false">F28*(1+'Product Mix'!E$19)</f>
        <v>210</v>
      </c>
    </row>
    <row r="29" customFormat="false" ht="15" hidden="false" customHeight="false" outlineLevel="0" collapsed="false">
      <c r="B29" s="59" t="s">
        <v>145</v>
      </c>
      <c r="C29" s="61" t="n">
        <f aca="false">'Product Mix'!E$32*(1-Sel_OpexEfficiency)</f>
        <v>0.273324857142857</v>
      </c>
      <c r="D29" s="62" t="n">
        <f aca="false">C29*(1-Sel_OpexEfficiency)</f>
        <v>0.270591608571429</v>
      </c>
      <c r="E29" s="62" t="n">
        <f aca="false">D29*(1-Sel_OpexEfficiency)</f>
        <v>0.267885692485714</v>
      </c>
      <c r="F29" s="62" t="n">
        <f aca="false">E29*(1-Sel_OpexEfficiency)</f>
        <v>0.265206835560857</v>
      </c>
      <c r="G29" s="62" t="n">
        <f aca="false">F29*(1-Sel_OpexEfficiency)</f>
        <v>0.262554767205249</v>
      </c>
    </row>
    <row r="30" customFormat="false" ht="15" hidden="false" customHeight="false" outlineLevel="0" collapsed="false">
      <c r="B30" s="59" t="s">
        <v>141</v>
      </c>
      <c r="C30" s="47" t="n">
        <f aca="false">C28*C29</f>
        <v>57.39822</v>
      </c>
      <c r="D30" s="47" t="n">
        <f aca="false">D28*D29</f>
        <v>56.8242378</v>
      </c>
      <c r="E30" s="47" t="n">
        <f aca="false">E28*E29</f>
        <v>56.255995422</v>
      </c>
      <c r="F30" s="47" t="n">
        <f aca="false">F28*F29</f>
        <v>55.69343546778</v>
      </c>
      <c r="G30" s="47" t="n">
        <f aca="false">G28*G29</f>
        <v>55.1365011131022</v>
      </c>
    </row>
    <row r="31" customFormat="false" ht="15" hidden="false" customHeight="false" outlineLevel="0" collapsed="false">
      <c r="B31" s="59" t="s">
        <v>196</v>
      </c>
      <c r="C31" s="60" t="n">
        <f aca="false">C28*'Product Mix'!E$15</f>
        <v>96.6</v>
      </c>
      <c r="D31" s="60" t="n">
        <f aca="false">D28*'Product Mix'!E$15</f>
        <v>96.6</v>
      </c>
      <c r="E31" s="60" t="n">
        <f aca="false">E28*'Product Mix'!E$15</f>
        <v>96.6</v>
      </c>
      <c r="F31" s="60" t="n">
        <f aca="false">F28*'Product Mix'!E$15</f>
        <v>96.6</v>
      </c>
      <c r="G31" s="60" t="n">
        <f aca="false">G28*'Product Mix'!E$15</f>
        <v>96.6</v>
      </c>
    </row>
    <row r="32" customFormat="false" ht="15" hidden="false" customHeight="false" outlineLevel="0" collapsed="false">
      <c r="B32" s="63" t="s">
        <v>143</v>
      </c>
      <c r="C32" s="49" t="n">
        <f aca="false">C31-C30</f>
        <v>39.20178</v>
      </c>
      <c r="D32" s="49" t="n">
        <f aca="false">D31-D30</f>
        <v>39.7757622</v>
      </c>
      <c r="E32" s="49" t="n">
        <f aca="false">E31-E30</f>
        <v>40.344004578</v>
      </c>
      <c r="F32" s="49" t="n">
        <f aca="false">F31-F30</f>
        <v>40.90656453222</v>
      </c>
      <c r="G32" s="49" t="n">
        <f aca="false">G31-G30</f>
        <v>41.4634988868978</v>
      </c>
    </row>
    <row r="33" customFormat="false" ht="15" hidden="false" customHeight="false" outlineLevel="0" collapsed="false">
      <c r="B33" s="59" t="s">
        <v>144</v>
      </c>
      <c r="C33" s="62" t="n">
        <f aca="false">C32/C28</f>
        <v>0.186675142857143</v>
      </c>
      <c r="D33" s="62" t="n">
        <f aca="false">D32/D28</f>
        <v>0.189408391428571</v>
      </c>
      <c r="E33" s="62" t="n">
        <f aca="false">E32/E28</f>
        <v>0.192114307514286</v>
      </c>
      <c r="F33" s="62" t="n">
        <f aca="false">F32/F28</f>
        <v>0.194793164439143</v>
      </c>
      <c r="G33" s="62" t="n">
        <f aca="false">G32/G28</f>
        <v>0.197445232794751</v>
      </c>
    </row>
    <row r="34" customFormat="false" ht="15" hidden="false" customHeight="false" outlineLevel="0" collapsed="false">
      <c r="B34" s="3" t="s">
        <v>197</v>
      </c>
      <c r="C34" s="64" t="n">
        <f aca="false">NPV(WACC,C32:G32)</f>
        <v>152.506864904856</v>
      </c>
      <c r="D34" s="64"/>
      <c r="E34" s="64"/>
      <c r="F34" s="64"/>
      <c r="G34" s="64"/>
    </row>
    <row r="36" customFormat="false" ht="18.75" hidden="false" customHeight="true" outlineLevel="0" collapsed="false">
      <c r="B36" s="58" t="s">
        <v>200</v>
      </c>
      <c r="C36" s="58"/>
      <c r="D36" s="58"/>
      <c r="E36" s="58"/>
      <c r="F36" s="58"/>
      <c r="G36" s="58"/>
    </row>
    <row r="37" customFormat="false" ht="15" hidden="false" customHeight="false" outlineLevel="0" collapsed="false">
      <c r="B37" s="59" t="s">
        <v>195</v>
      </c>
      <c r="C37" s="60" t="n">
        <f aca="false">'Product Mix'!F$8*(1+'Product Mix'!F$19)</f>
        <v>165</v>
      </c>
      <c r="D37" s="47" t="n">
        <f aca="false">C37*(1+'Product Mix'!F$19)</f>
        <v>165</v>
      </c>
      <c r="E37" s="47" t="n">
        <f aca="false">D37*(1+'Product Mix'!F$19)</f>
        <v>165</v>
      </c>
      <c r="F37" s="47" t="n">
        <f aca="false">E37*(1+'Product Mix'!F$19)</f>
        <v>165</v>
      </c>
      <c r="G37" s="47" t="n">
        <f aca="false">F37*(1+'Product Mix'!F$19)</f>
        <v>165</v>
      </c>
    </row>
    <row r="38" customFormat="false" ht="15" hidden="false" customHeight="false" outlineLevel="0" collapsed="false">
      <c r="B38" s="59" t="s">
        <v>145</v>
      </c>
      <c r="C38" s="61" t="n">
        <f aca="false">'Product Mix'!F$32*(1-Sel_OpexEfficiency)</f>
        <v>0.26622</v>
      </c>
      <c r="D38" s="62" t="n">
        <f aca="false">C38*(1-Sel_OpexEfficiency)</f>
        <v>0.2635578</v>
      </c>
      <c r="E38" s="62" t="n">
        <f aca="false">D38*(1-Sel_OpexEfficiency)</f>
        <v>0.260922222</v>
      </c>
      <c r="F38" s="62" t="n">
        <f aca="false">E38*(1-Sel_OpexEfficiency)</f>
        <v>0.25831299978</v>
      </c>
      <c r="G38" s="62" t="n">
        <f aca="false">F38*(1-Sel_OpexEfficiency)</f>
        <v>0.2557298697822</v>
      </c>
    </row>
    <row r="39" customFormat="false" ht="15" hidden="false" customHeight="false" outlineLevel="0" collapsed="false">
      <c r="B39" s="59" t="s">
        <v>141</v>
      </c>
      <c r="C39" s="47" t="n">
        <f aca="false">C37*C38</f>
        <v>43.9263</v>
      </c>
      <c r="D39" s="47" t="n">
        <f aca="false">D37*D38</f>
        <v>43.487037</v>
      </c>
      <c r="E39" s="47" t="n">
        <f aca="false">E37*E38</f>
        <v>43.05216663</v>
      </c>
      <c r="F39" s="47" t="n">
        <f aca="false">F37*F38</f>
        <v>42.6216449637</v>
      </c>
      <c r="G39" s="47" t="n">
        <f aca="false">G37*G38</f>
        <v>42.195428514063</v>
      </c>
    </row>
    <row r="40" customFormat="false" ht="15" hidden="false" customHeight="false" outlineLevel="0" collapsed="false">
      <c r="B40" s="59" t="s">
        <v>196</v>
      </c>
      <c r="C40" s="60" t="n">
        <f aca="false">C37*'Product Mix'!F$15</f>
        <v>66</v>
      </c>
      <c r="D40" s="60" t="n">
        <f aca="false">D37*'Product Mix'!F$15</f>
        <v>66</v>
      </c>
      <c r="E40" s="60" t="n">
        <f aca="false">E37*'Product Mix'!F$15</f>
        <v>66</v>
      </c>
      <c r="F40" s="60" t="n">
        <f aca="false">F37*'Product Mix'!F$15</f>
        <v>66</v>
      </c>
      <c r="G40" s="60" t="n">
        <f aca="false">G37*'Product Mix'!F$15</f>
        <v>66</v>
      </c>
    </row>
    <row r="41" customFormat="false" ht="15" hidden="false" customHeight="false" outlineLevel="0" collapsed="false">
      <c r="B41" s="63" t="s">
        <v>143</v>
      </c>
      <c r="C41" s="49" t="n">
        <f aca="false">C40-C39</f>
        <v>22.0737</v>
      </c>
      <c r="D41" s="49" t="n">
        <f aca="false">D40-D39</f>
        <v>22.512963</v>
      </c>
      <c r="E41" s="49" t="n">
        <f aca="false">E40-E39</f>
        <v>22.94783337</v>
      </c>
      <c r="F41" s="49" t="n">
        <f aca="false">F40-F39</f>
        <v>23.3783550363</v>
      </c>
      <c r="G41" s="49" t="n">
        <f aca="false">G40-G39</f>
        <v>23.804571485937</v>
      </c>
    </row>
    <row r="42" customFormat="false" ht="15" hidden="false" customHeight="false" outlineLevel="0" collapsed="false">
      <c r="B42" s="59" t="s">
        <v>144</v>
      </c>
      <c r="C42" s="62" t="n">
        <f aca="false">C41/C37</f>
        <v>0.13378</v>
      </c>
      <c r="D42" s="62" t="n">
        <f aca="false">D41/D37</f>
        <v>0.1364422</v>
      </c>
      <c r="E42" s="62" t="n">
        <f aca="false">E41/E37</f>
        <v>0.139077778</v>
      </c>
      <c r="F42" s="62" t="n">
        <f aca="false">F41/F37</f>
        <v>0.14168700022</v>
      </c>
      <c r="G42" s="62" t="n">
        <f aca="false">G41/G37</f>
        <v>0.1442701302178</v>
      </c>
    </row>
    <row r="43" customFormat="false" ht="15" hidden="false" customHeight="false" outlineLevel="0" collapsed="false">
      <c r="B43" s="3" t="s">
        <v>197</v>
      </c>
      <c r="C43" s="64" t="n">
        <f aca="false">NPV(WACC,C41:G41)</f>
        <v>86.6622984809576</v>
      </c>
      <c r="D43" s="64"/>
      <c r="E43" s="64"/>
      <c r="F43" s="64"/>
      <c r="G43" s="64"/>
    </row>
    <row r="45" customFormat="false" ht="18.75" hidden="false" customHeight="true" outlineLevel="0" collapsed="false">
      <c r="B45" s="65" t="s">
        <v>201</v>
      </c>
      <c r="C45" s="65"/>
      <c r="D45" s="65"/>
      <c r="E45" s="65"/>
      <c r="F45" s="65"/>
      <c r="G45" s="65"/>
    </row>
    <row r="46" customFormat="false" ht="15" hidden="false" customHeight="false" outlineLevel="0" collapsed="false">
      <c r="B46" s="63" t="s">
        <v>202</v>
      </c>
      <c r="C46" s="49" t="n">
        <f aca="false">C10+C19+C28+C37</f>
        <v>1195</v>
      </c>
      <c r="D46" s="49" t="n">
        <f aca="false">D10+D19+D28+D37</f>
        <v>1195</v>
      </c>
      <c r="E46" s="49" t="n">
        <f aca="false">E10+E19+E28+E37</f>
        <v>1195</v>
      </c>
      <c r="F46" s="49" t="n">
        <f aca="false">F10+F19+F28+F37</f>
        <v>1195</v>
      </c>
      <c r="G46" s="49" t="n">
        <f aca="false">G10+G19+G28+G37</f>
        <v>1195</v>
      </c>
    </row>
    <row r="47" customFormat="false" ht="15" hidden="false" customHeight="false" outlineLevel="0" collapsed="false">
      <c r="B47" s="63" t="s">
        <v>141</v>
      </c>
      <c r="C47" s="49" t="n">
        <f aca="false">C12+C21+C30+C39</f>
        <v>389.98377</v>
      </c>
      <c r="D47" s="49" t="n">
        <f aca="false">D12+D21+D30+D39</f>
        <v>386.0839323</v>
      </c>
      <c r="E47" s="49" t="n">
        <f aca="false">E12+E21+E30+E39</f>
        <v>382.223092977</v>
      </c>
      <c r="F47" s="49" t="n">
        <f aca="false">F12+F21+F30+F39</f>
        <v>378.40086204723</v>
      </c>
      <c r="G47" s="49" t="n">
        <f aca="false">G12+G21+G30+G39</f>
        <v>374.616853426758</v>
      </c>
    </row>
    <row r="48" customFormat="false" ht="15" hidden="false" customHeight="false" outlineLevel="0" collapsed="false">
      <c r="B48" s="63" t="s">
        <v>203</v>
      </c>
      <c r="C48" s="49" t="n">
        <f aca="false">C14+C23+C32+C41</f>
        <v>159.01623</v>
      </c>
      <c r="D48" s="49" t="n">
        <f aca="false">D14+D23+D32+D41</f>
        <v>162.9160677</v>
      </c>
      <c r="E48" s="49" t="n">
        <f aca="false">E14+E23+E32+E41</f>
        <v>166.776907023</v>
      </c>
      <c r="F48" s="49" t="n">
        <f aca="false">F14+F23+F32+F41</f>
        <v>170.59913795277</v>
      </c>
      <c r="G48" s="49" t="n">
        <f aca="false">G14+G23+G32+G41</f>
        <v>174.383146573242</v>
      </c>
    </row>
    <row r="49" customFormat="false" ht="15" hidden="false" customHeight="false" outlineLevel="0" collapsed="false">
      <c r="B49" s="63" t="s">
        <v>204</v>
      </c>
      <c r="C49" s="66" t="n">
        <f aca="false">C48/C46</f>
        <v>0.133067974895397</v>
      </c>
      <c r="D49" s="66" t="n">
        <f aca="false">D48/D46</f>
        <v>0.136331437405858</v>
      </c>
      <c r="E49" s="66" t="n">
        <f aca="false">E48/E46</f>
        <v>0.139562265291213</v>
      </c>
      <c r="F49" s="66" t="n">
        <f aca="false">F48/F46</f>
        <v>0.142760784897716</v>
      </c>
      <c r="G49" s="66" t="n">
        <f aca="false">G48/G46</f>
        <v>0.145927319308153</v>
      </c>
    </row>
    <row r="50" customFormat="false" ht="15" hidden="false" customHeight="false" outlineLevel="0" collapsed="false">
      <c r="B50" s="59" t="s">
        <v>205</v>
      </c>
      <c r="C50" s="62" t="n">
        <f aca="false">C47/C46</f>
        <v>0.326346251046025</v>
      </c>
      <c r="D50" s="62" t="n">
        <f aca="false">D47/D46</f>
        <v>0.323082788535565</v>
      </c>
      <c r="E50" s="62" t="n">
        <f aca="false">E47/E46</f>
        <v>0.319851960650209</v>
      </c>
      <c r="F50" s="62" t="n">
        <f aca="false">F47/F46</f>
        <v>0.316653441043707</v>
      </c>
      <c r="G50" s="62" t="n">
        <f aca="false">G47/G46</f>
        <v>0.31348690663327</v>
      </c>
    </row>
    <row r="52" customFormat="false" ht="21.75" hidden="false" customHeight="true" outlineLevel="0" collapsed="false">
      <c r="B52" s="67" t="s">
        <v>206</v>
      </c>
      <c r="C52" s="68" t="n">
        <f aca="false">NPV(WACC,C48:G48)</f>
        <v>629.303266835238</v>
      </c>
      <c r="D52" s="68"/>
      <c r="E52" s="68"/>
      <c r="F52" s="68"/>
      <c r="G52" s="68"/>
    </row>
  </sheetData>
  <mergeCells count="12">
    <mergeCell ref="A1:G1"/>
    <mergeCell ref="B3:G4"/>
    <mergeCell ref="B9:G9"/>
    <mergeCell ref="C16:G16"/>
    <mergeCell ref="B18:G18"/>
    <mergeCell ref="C25:G25"/>
    <mergeCell ref="B27:G27"/>
    <mergeCell ref="C34:G34"/>
    <mergeCell ref="B36:G36"/>
    <mergeCell ref="C43:G43"/>
    <mergeCell ref="B45:G45"/>
    <mergeCell ref="C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7" min="3" style="0" width="16"/>
  </cols>
  <sheetData>
    <row r="1" customFormat="false" ht="30" hidden="false" customHeight="true" outlineLevel="0" collapsed="false">
      <c r="A1" s="1" t="s">
        <v>207</v>
      </c>
      <c r="B1" s="1"/>
      <c r="C1" s="1"/>
      <c r="D1" s="1"/>
      <c r="E1" s="1"/>
      <c r="F1" s="1"/>
      <c r="G1" s="1"/>
    </row>
    <row r="3" customFormat="false" ht="15" hidden="false" customHeight="true" outlineLevel="0" collapsed="false">
      <c r="B3" s="15" t="s">
        <v>208</v>
      </c>
      <c r="C3" s="15"/>
      <c r="D3" s="15"/>
      <c r="E3" s="15"/>
      <c r="F3" s="15"/>
      <c r="G3" s="15"/>
    </row>
    <row r="4" customFormat="false" ht="15" hidden="false" customHeight="false" outlineLevel="0" collapsed="false">
      <c r="B4" s="15"/>
      <c r="C4" s="15"/>
      <c r="D4" s="15"/>
      <c r="E4" s="15"/>
      <c r="F4" s="15"/>
      <c r="G4" s="15"/>
    </row>
    <row r="6" customFormat="false" ht="18.75" hidden="false" customHeight="true" outlineLevel="0" collapsed="false">
      <c r="B6" s="4" t="s">
        <v>209</v>
      </c>
      <c r="C6" s="4"/>
      <c r="D6" s="4"/>
      <c r="E6" s="4"/>
      <c r="F6" s="4"/>
      <c r="G6" s="4"/>
    </row>
    <row r="7" customFormat="false" ht="30" hidden="false" customHeight="true" outlineLevel="0" collapsed="false">
      <c r="B7" s="16" t="s">
        <v>116</v>
      </c>
      <c r="C7" s="16" t="s">
        <v>42</v>
      </c>
      <c r="D7" s="16" t="s">
        <v>46</v>
      </c>
      <c r="E7" s="16" t="s">
        <v>47</v>
      </c>
    </row>
    <row r="8" customFormat="false" ht="15" hidden="false" customHeight="false" outlineLevel="0" collapsed="false">
      <c r="B8" s="59" t="s">
        <v>210</v>
      </c>
      <c r="C8" s="47" t="n">
        <f aca="false">'Product Mix'!$G$8*(1+Assumptions!$C$9)^5</f>
        <v>1676.0493181865</v>
      </c>
      <c r="D8" s="47" t="n">
        <f aca="false">'Product Mix'!$G$8*(1+Assumptions!$D$9)^5</f>
        <v>2013.6444953445</v>
      </c>
      <c r="E8" s="47" t="n">
        <f aca="false">'Product Mix'!$G$8*(1+Assumptions!$E$9)^5</f>
        <v>1319.376559824</v>
      </c>
    </row>
    <row r="9" customFormat="false" ht="15" hidden="false" customHeight="false" outlineLevel="0" collapsed="false">
      <c r="B9" s="59" t="s">
        <v>211</v>
      </c>
      <c r="C9" s="62" t="n">
        <f aca="false">'Product Mix'!$G$32*(1-Assumptions!$C$15)^5</f>
        <v>0.31348690663327</v>
      </c>
      <c r="D9" s="62" t="n">
        <f aca="false">'Product Mix'!$G$32*(1-Assumptions!$D$15)^5</f>
        <v>0.297970871998198</v>
      </c>
      <c r="E9" s="62" t="n">
        <f aca="false">'Product Mix'!$G$32*(1-Assumptions!$E$15)^5</f>
        <v>0.346457767335182</v>
      </c>
    </row>
    <row r="10" customFormat="false" ht="15" hidden="false" customHeight="false" outlineLevel="0" collapsed="false">
      <c r="B10" s="59" t="s">
        <v>212</v>
      </c>
      <c r="C10" s="47" t="n">
        <f aca="false">C8*C9</f>
        <v>525.419516123087</v>
      </c>
      <c r="D10" s="47" t="n">
        <f aca="false">D8*D9</f>
        <v>600.007406172172</v>
      </c>
      <c r="E10" s="47" t="n">
        <f aca="false">E8*E9</f>
        <v>457.108257190996</v>
      </c>
    </row>
    <row r="11" customFormat="false" ht="15" hidden="false" customHeight="false" outlineLevel="0" collapsed="false">
      <c r="B11" s="59" t="s">
        <v>213</v>
      </c>
      <c r="C11" s="47" t="n">
        <f aca="false">C8*('Product Mix'!G29/'Product Mix'!G8)</f>
        <v>770.0009001543</v>
      </c>
      <c r="D11" s="47" t="n">
        <f aca="false">D8*('Product Mix'!G29/'Product Mix'!G8)</f>
        <v>925.096927149901</v>
      </c>
      <c r="E11" s="47" t="n">
        <f aca="false">E8*('Product Mix'!G29/'Product Mix'!G8)</f>
        <v>606.1403609568</v>
      </c>
    </row>
    <row r="12" customFormat="false" ht="15" hidden="false" customHeight="false" outlineLevel="0" collapsed="false">
      <c r="B12" s="63" t="s">
        <v>214</v>
      </c>
      <c r="C12" s="49" t="n">
        <f aca="false">C11-C10</f>
        <v>244.581384031213</v>
      </c>
      <c r="D12" s="49" t="n">
        <f aca="false">D11-D10</f>
        <v>325.089520977729</v>
      </c>
      <c r="E12" s="49" t="n">
        <f aca="false">E11-E10</f>
        <v>149.032103765804</v>
      </c>
    </row>
    <row r="13" customFormat="false" ht="15" hidden="false" customHeight="false" outlineLevel="0" collapsed="false">
      <c r="B13" s="63" t="s">
        <v>215</v>
      </c>
      <c r="C13" s="66" t="n">
        <f aca="false">C12/C8</f>
        <v>0.145927319308153</v>
      </c>
      <c r="D13" s="66" t="n">
        <f aca="false">D12/D8</f>
        <v>0.161443353943225</v>
      </c>
      <c r="E13" s="66" t="n">
        <f aca="false">E12/E8</f>
        <v>0.112956458606241</v>
      </c>
    </row>
    <row r="15" customFormat="false" ht="18.75" hidden="false" customHeight="true" outlineLevel="0" collapsed="false">
      <c r="B15" s="4" t="s">
        <v>216</v>
      </c>
      <c r="C15" s="4"/>
      <c r="D15" s="4"/>
      <c r="E15" s="4"/>
      <c r="F15" s="4"/>
      <c r="G15" s="4"/>
    </row>
    <row r="16" customFormat="false" ht="15" hidden="false" customHeight="false" outlineLevel="0" collapsed="false">
      <c r="B16" s="26" t="s">
        <v>217</v>
      </c>
    </row>
    <row r="17" customFormat="false" ht="30" hidden="false" customHeight="true" outlineLevel="0" collapsed="false">
      <c r="B17" s="16" t="s">
        <v>218</v>
      </c>
      <c r="C17" s="16" t="s">
        <v>219</v>
      </c>
      <c r="D17" s="16" t="s">
        <v>220</v>
      </c>
      <c r="E17" s="16" t="s">
        <v>221</v>
      </c>
      <c r="F17" s="16" t="s">
        <v>222</v>
      </c>
      <c r="G17" s="16" t="s">
        <v>223</v>
      </c>
    </row>
    <row r="18" customFormat="false" ht="15" hidden="false" customHeight="false" outlineLevel="0" collapsed="false">
      <c r="B18" s="59" t="s">
        <v>224</v>
      </c>
      <c r="C18" s="47" t="n">
        <f aca="false">'Product Mix'!$G$29-('Product Mix'!$G$28+('Product Mix'!$G$8*-0.02))</f>
        <v>178.977</v>
      </c>
      <c r="D18" s="47" t="n">
        <f aca="false">'Product Mix'!$G$29-('Product Mix'!$G$28+('Product Mix'!$G$8*-0.01))</f>
        <v>167.027</v>
      </c>
      <c r="E18" s="47" t="n">
        <f aca="false">'Product Mix'!$G$29-('Product Mix'!$G$28+('Product Mix'!$G$8*0))</f>
        <v>155.077</v>
      </c>
      <c r="F18" s="47" t="n">
        <f aca="false">'Product Mix'!$G$29-('Product Mix'!$G$28+('Product Mix'!$G$8*0.01))</f>
        <v>143.127</v>
      </c>
      <c r="G18" s="47" t="n">
        <f aca="false">'Product Mix'!$G$29-('Product Mix'!$G$28+('Product Mix'!$G$8*0.02))</f>
        <v>131.177</v>
      </c>
    </row>
    <row r="20" customFormat="false" ht="30" hidden="false" customHeight="true" outlineLevel="0" collapsed="false">
      <c r="B20" s="16" t="s">
        <v>225</v>
      </c>
      <c r="C20" s="16" t="s">
        <v>226</v>
      </c>
      <c r="D20" s="16" t="s">
        <v>227</v>
      </c>
      <c r="E20" s="16" t="s">
        <v>221</v>
      </c>
      <c r="F20" s="16" t="s">
        <v>228</v>
      </c>
      <c r="G20" s="16" t="s">
        <v>229</v>
      </c>
    </row>
    <row r="21" customFormat="false" ht="15" hidden="false" customHeight="false" outlineLevel="0" collapsed="false">
      <c r="B21" s="59" t="s">
        <v>230</v>
      </c>
      <c r="C21" s="69" t="n">
        <f aca="false">'Product Mix'!$G$35/((SUM('Product Mix'!C21:F21)*1000000/SUM('Product Mix'!C11:F11)/1000)*(1+-0.2))</f>
        <v>3.64984065926639</v>
      </c>
      <c r="D21" s="69" t="n">
        <f aca="false">'Product Mix'!$G$35/((SUM('Product Mix'!C21:F21)*1000000/SUM('Product Mix'!C11:F11)/1000)*(1+-0.1))</f>
        <v>3.24430280823679</v>
      </c>
      <c r="E21" s="69" t="n">
        <f aca="false">'Product Mix'!$G$35/((SUM('Product Mix'!C21:F21)*1000000/SUM('Product Mix'!C11:F11)/1000)*(1+0))</f>
        <v>2.91987252741311</v>
      </c>
      <c r="F21" s="69" t="n">
        <f aca="false">'Product Mix'!$G$35/((SUM('Product Mix'!C21:F21)*1000000/SUM('Product Mix'!C11:F11)/1000)*(1+0.1))</f>
        <v>2.65442957037555</v>
      </c>
      <c r="G21" s="69" t="n">
        <f aca="false">'Product Mix'!$G$35/((SUM('Product Mix'!C21:F21)*1000000/SUM('Product Mix'!C11:F11)/1000)*(1+0.2))</f>
        <v>2.43322710617759</v>
      </c>
    </row>
    <row r="22" customFormat="false" ht="15" hidden="false" customHeight="false" outlineLevel="0" collapsed="false">
      <c r="B22" s="59" t="s">
        <v>231</v>
      </c>
      <c r="C22" s="70" t="n">
        <f aca="false">((SUM('Product Mix'!C21:F21)*1000000/SUM('Product Mix'!C11:F11)/1000)*(1+-0.2))/(('Product Mix'!$G$34*('Product Mix'!$G$29/'Product Mix'!$G$8))/12)</f>
        <v>19.216648469287</v>
      </c>
      <c r="D22" s="70" t="n">
        <f aca="false">((SUM('Product Mix'!C21:F21)*1000000/SUM('Product Mix'!C11:F11)/1000)*(1+-0.1))/(('Product Mix'!$G$34*('Product Mix'!$G$29/'Product Mix'!$G$8))/12)</f>
        <v>21.6187295279479</v>
      </c>
      <c r="E22" s="70" t="n">
        <f aca="false">((SUM('Product Mix'!C21:F21)*1000000/SUM('Product Mix'!C11:F11)/1000)*(1+0))/(('Product Mix'!$G$34*('Product Mix'!$G$29/'Product Mix'!$G$8))/12)</f>
        <v>24.0208105866087</v>
      </c>
      <c r="F22" s="70" t="n">
        <f aca="false">((SUM('Product Mix'!C21:F21)*1000000/SUM('Product Mix'!C11:F11)/1000)*(1+0.1))/(('Product Mix'!$G$34*('Product Mix'!$G$29/'Product Mix'!$G$8))/12)</f>
        <v>26.4228916452696</v>
      </c>
      <c r="G22" s="70" t="n">
        <f aca="false">((SUM('Product Mix'!C21:F21)*1000000/SUM('Product Mix'!C11:F11)/1000)*(1+0.2))/(('Product Mix'!$G$34*('Product Mix'!$G$29/'Product Mix'!$G$8))/12)</f>
        <v>28.8249727039305</v>
      </c>
    </row>
    <row r="24" customFormat="false" ht="30" hidden="false" customHeight="true" outlineLevel="0" collapsed="false">
      <c r="B24" s="16" t="s">
        <v>232</v>
      </c>
      <c r="C24" s="16" t="s">
        <v>233</v>
      </c>
      <c r="D24" s="16" t="s">
        <v>221</v>
      </c>
      <c r="E24" s="16" t="s">
        <v>234</v>
      </c>
      <c r="F24" s="16"/>
      <c r="G24" s="16"/>
    </row>
    <row r="25" customFormat="false" ht="15" hidden="false" customHeight="false" outlineLevel="0" collapsed="false">
      <c r="B25" s="59" t="s">
        <v>210</v>
      </c>
      <c r="C25" s="47" t="n">
        <f aca="false">'Product Mix'!$G$8*(1+Sel_GrowthRate+-0.03)^5</f>
        <v>1453.900218368</v>
      </c>
      <c r="D25" s="47" t="n">
        <f aca="false">'Product Mix'!$G$8*(1+Sel_GrowthRate+0)^5</f>
        <v>1676.0493181865</v>
      </c>
      <c r="E25" s="47" t="n">
        <f aca="false">'Product Mix'!$G$8*(1+Sel_GrowthRate+0.03)^5</f>
        <v>1924.55945</v>
      </c>
    </row>
  </sheetData>
  <mergeCells count="4">
    <mergeCell ref="A1:G1"/>
    <mergeCell ref="B3:G4"/>
    <mergeCell ref="B6:G6"/>
    <mergeCell ref="B15:G15"/>
  </mergeCells>
  <conditionalFormatting sqref="C21:G21">
    <cfRule type="cellIs" priority="2" operator="lessThan" aboveAverage="0" equalAverage="0" bottom="0" percent="0" rank="0" text="" dxfId="0">
      <formula>3</formula>
    </cfRule>
    <cfRule type="cellIs" priority="3" operator="between" aboveAverage="0" equalAverage="0" bottom="0" percent="0" rank="0" text="" dxfId="1">
      <formula>3</formula>
      <formula>4</formula>
    </cfRule>
    <cfRule type="cellIs" priority="4" operator="greaterThanOrEqual" aboveAverage="0" equalAverage="0" bottom="0" percent="0" rank="0" text="" dxfId="2">
      <formula>4</formula>
    </cfRule>
  </conditionalFormatting>
  <conditionalFormatting sqref="C22:G22">
    <cfRule type="cellIs" priority="5" operator="lessThanOrEqual" aboveAverage="0" equalAverage="0" bottom="0" percent="0" rank="0" text="" dxfId="2">
      <formula>18</formula>
    </cfRule>
    <cfRule type="cellIs" priority="6" operator="between" aboveAverage="0" equalAverage="0" bottom="0" percent="0" rank="0" text="" dxfId="1">
      <formula>18</formula>
      <formula>24</formula>
    </cfRule>
    <cfRule type="cellIs" priority="7" operator="greaterThan" aboveAverage="0" equalAverage="0" bottom="0" percent="0" rank="0" text="" dxfId="0">
      <formula>24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2" min="2" style="0" width="13"/>
  </cols>
  <sheetData>
    <row r="1" customFormat="false" ht="31.5" hidden="false" customHeight="true" outlineLevel="0" collapsed="false">
      <c r="A1" s="71" t="s">
        <v>235</v>
      </c>
      <c r="B1" s="71"/>
      <c r="C1" s="71"/>
      <c r="D1" s="71"/>
      <c r="E1" s="71"/>
      <c r="F1" s="71"/>
      <c r="G1" s="71"/>
      <c r="H1" s="71"/>
      <c r="I1" s="71"/>
      <c r="J1" s="71"/>
      <c r="K1" s="71"/>
      <c r="L1" s="71"/>
    </row>
    <row r="2" customFormat="false" ht="15" hidden="false" customHeight="false" outlineLevel="0" collapsed="false">
      <c r="K2" s="72" t="str">
        <f aca="false">"Scenario: "&amp;Assumptions!$C$5</f>
        <v>Scenario: Base Case</v>
      </c>
      <c r="L2" s="72"/>
    </row>
    <row r="3" customFormat="false" ht="25.5" hidden="false" customHeight="true" outlineLevel="0" collapsed="false">
      <c r="B3" s="73" t="s">
        <v>236</v>
      </c>
      <c r="C3" s="73"/>
      <c r="D3" s="73" t="s">
        <v>237</v>
      </c>
      <c r="E3" s="73"/>
      <c r="F3" s="73" t="s">
        <v>238</v>
      </c>
      <c r="G3" s="73"/>
      <c r="H3" s="73" t="s">
        <v>239</v>
      </c>
      <c r="I3" s="73"/>
      <c r="J3" s="73" t="s">
        <v>240</v>
      </c>
      <c r="K3" s="73"/>
      <c r="L3" s="73" t="s">
        <v>241</v>
      </c>
      <c r="M3" s="73"/>
    </row>
    <row r="4" customFormat="false" ht="30" hidden="false" customHeight="true" outlineLevel="0" collapsed="false">
      <c r="B4" s="74" t="n">
        <f aca="false">'Product Mix'!$G$8</f>
        <v>1195</v>
      </c>
      <c r="C4" s="74"/>
      <c r="D4" s="74" t="n">
        <f aca="false">'Product Mix'!$G$30</f>
        <v>155.077</v>
      </c>
      <c r="E4" s="74"/>
      <c r="F4" s="75" t="n">
        <f aca="false">'Product Mix'!$G$31</f>
        <v>0.129771548117155</v>
      </c>
      <c r="G4" s="75"/>
      <c r="H4" s="76" t="n">
        <f aca="false">'Product Mix'!$G$36</f>
        <v>2.91987252741311</v>
      </c>
      <c r="I4" s="76"/>
      <c r="J4" s="74" t="n">
        <f aca="false">'5-Yr Projection'!$G$46</f>
        <v>1195</v>
      </c>
      <c r="K4" s="74"/>
      <c r="L4" s="74" t="n">
        <f aca="false">'5-Yr Projection'!$C$52</f>
        <v>629.303266835238</v>
      </c>
      <c r="M4" s="74"/>
    </row>
    <row r="6" customFormat="false" ht="15" hidden="false" customHeight="true" outlineLevel="0" collapsed="false">
      <c r="B6" s="20" t="s">
        <v>242</v>
      </c>
      <c r="C6" s="20"/>
      <c r="D6" s="20"/>
      <c r="E6" s="20"/>
      <c r="F6" s="20"/>
      <c r="G6" s="20"/>
      <c r="H6" s="20"/>
      <c r="I6" s="20"/>
      <c r="J6" s="20"/>
      <c r="K6" s="20"/>
      <c r="L6" s="20"/>
    </row>
    <row r="8" customFormat="false" ht="18.75" hidden="false" customHeight="true" outlineLevel="0" collapsed="false">
      <c r="B8" s="4" t="s">
        <v>243</v>
      </c>
      <c r="C8" s="4"/>
      <c r="D8" s="4"/>
      <c r="E8" s="4"/>
      <c r="F8" s="4"/>
      <c r="G8" s="4"/>
      <c r="H8" s="4"/>
      <c r="I8" s="4"/>
      <c r="J8" s="4"/>
      <c r="K8" s="4"/>
      <c r="L8" s="4"/>
    </row>
    <row r="9" customFormat="false" ht="15" hidden="false" customHeight="false" outlineLevel="0" collapsed="false">
      <c r="B9" s="59" t="s">
        <v>244</v>
      </c>
      <c r="C9" s="77" t="s">
        <v>117</v>
      </c>
      <c r="D9" s="77" t="s">
        <v>118</v>
      </c>
      <c r="E9" s="77" t="s">
        <v>98</v>
      </c>
      <c r="F9" s="77" t="s">
        <v>119</v>
      </c>
    </row>
    <row r="10" customFormat="false" ht="15" hidden="false" customHeight="false" outlineLevel="0" collapsed="false">
      <c r="B10" s="59" t="s">
        <v>245</v>
      </c>
      <c r="C10" s="61" t="n">
        <f aca="false">'Product Mix'!C$31</f>
        <v>0.2109375</v>
      </c>
      <c r="D10" s="61" t="n">
        <f aca="false">'Product Mix'!D$31</f>
        <v>-0.0188970588235295</v>
      </c>
      <c r="E10" s="61" t="n">
        <f aca="false">'Product Mix'!E$31</f>
        <v>0.183914285714286</v>
      </c>
      <c r="F10" s="61" t="n">
        <f aca="false">'Product Mix'!F$31</f>
        <v>0.131090909090909</v>
      </c>
    </row>
    <row r="11" customFormat="false" ht="15" hidden="false" customHeight="false" outlineLevel="0" collapsed="false">
      <c r="B11" s="59" t="s">
        <v>246</v>
      </c>
      <c r="C11" s="78" t="n">
        <f aca="false">'Product Mix'!C$36</f>
        <v>5.49856808122885</v>
      </c>
      <c r="D11" s="78" t="n">
        <f aca="false">'Product Mix'!D$36</f>
        <v>0.671328671328671</v>
      </c>
      <c r="E11" s="78" t="n">
        <f aca="false">'Product Mix'!E$36</f>
        <v>12.2417944493727</v>
      </c>
      <c r="F11" s="78" t="n">
        <f aca="false">'Product Mix'!F$36</f>
        <v>15.4385964912281</v>
      </c>
    </row>
    <row r="13" customFormat="false" ht="15" hidden="false" customHeight="false" outlineLevel="0" collapsed="false">
      <c r="B13" s="59" t="s">
        <v>154</v>
      </c>
      <c r="C13" s="59" t="s">
        <v>247</v>
      </c>
    </row>
    <row r="14" customFormat="false" ht="15" hidden="false" customHeight="false" outlineLevel="0" collapsed="false">
      <c r="B14" s="77" t="s">
        <v>248</v>
      </c>
      <c r="C14" s="60" t="n">
        <f aca="false">'Product Mix'!$G$23</f>
        <v>112.478</v>
      </c>
    </row>
    <row r="15" customFormat="false" ht="15" hidden="false" customHeight="false" outlineLevel="0" collapsed="false">
      <c r="B15" s="77" t="s">
        <v>249</v>
      </c>
      <c r="C15" s="60" t="n">
        <f aca="false">'Product Mix'!$G$24</f>
        <v>116.04</v>
      </c>
    </row>
    <row r="16" customFormat="false" ht="15" hidden="false" customHeight="false" outlineLevel="0" collapsed="false">
      <c r="B16" s="77" t="s">
        <v>172</v>
      </c>
      <c r="C16" s="60" t="n">
        <f aca="false">'Product Mix'!$G$25</f>
        <v>68.625</v>
      </c>
    </row>
    <row r="17" customFormat="false" ht="15" hidden="false" customHeight="false" outlineLevel="0" collapsed="false">
      <c r="B17" s="77" t="s">
        <v>250</v>
      </c>
      <c r="C17" s="60" t="n">
        <f aca="false">'Product Mix'!$G$26</f>
        <v>25.08</v>
      </c>
    </row>
    <row r="18" customFormat="false" ht="15" hidden="false" customHeight="false" outlineLevel="0" collapsed="false">
      <c r="B18" s="77" t="s">
        <v>251</v>
      </c>
      <c r="C18" s="60" t="n">
        <f aca="false">'Product Mix'!$G$27</f>
        <v>71.7</v>
      </c>
    </row>
    <row r="20" customFormat="false" ht="15" hidden="false" customHeight="false" outlineLevel="0" collapsed="false">
      <c r="B20" s="59" t="s">
        <v>252</v>
      </c>
      <c r="C20" s="79" t="str">
        <f aca="false">'5-Yr Projection'!C6</f>
        <v>FY2027</v>
      </c>
      <c r="D20" s="79" t="str">
        <f aca="false">'5-Yr Projection'!D6</f>
        <v>FY2028</v>
      </c>
      <c r="E20" s="79" t="str">
        <f aca="false">'5-Yr Projection'!E6</f>
        <v>FY2029</v>
      </c>
      <c r="F20" s="79" t="str">
        <f aca="false">'5-Yr Projection'!F6</f>
        <v>FY2030</v>
      </c>
      <c r="G20" s="79" t="str">
        <f aca="false">'5-Yr Projection'!G6</f>
        <v>FY2031</v>
      </c>
    </row>
    <row r="21" customFormat="false" ht="15" hidden="false" customHeight="false" outlineLevel="0" collapsed="false">
      <c r="B21" s="59" t="s">
        <v>202</v>
      </c>
      <c r="C21" s="60" t="n">
        <f aca="false">'5-Yr Projection'!C46</f>
        <v>1195</v>
      </c>
      <c r="D21" s="60" t="n">
        <f aca="false">'5-Yr Projection'!D46</f>
        <v>1195</v>
      </c>
      <c r="E21" s="60" t="n">
        <f aca="false">'5-Yr Projection'!E46</f>
        <v>1195</v>
      </c>
      <c r="F21" s="60" t="n">
        <f aca="false">'5-Yr Projection'!F46</f>
        <v>1195</v>
      </c>
      <c r="G21" s="60" t="n">
        <f aca="false">'5-Yr Projection'!G46</f>
        <v>1195</v>
      </c>
    </row>
    <row r="22" customFormat="false" ht="15" hidden="false" customHeight="false" outlineLevel="0" collapsed="false">
      <c r="B22" s="59" t="s">
        <v>253</v>
      </c>
      <c r="C22" s="60" t="n">
        <f aca="false">'5-Yr Projection'!C47</f>
        <v>389.98377</v>
      </c>
      <c r="D22" s="60" t="n">
        <f aca="false">'5-Yr Projection'!D47</f>
        <v>386.0839323</v>
      </c>
      <c r="E22" s="60" t="n">
        <f aca="false">'5-Yr Projection'!E47</f>
        <v>382.223092977</v>
      </c>
      <c r="F22" s="60" t="n">
        <f aca="false">'5-Yr Projection'!F47</f>
        <v>378.40086204723</v>
      </c>
      <c r="G22" s="60" t="n">
        <f aca="false">'5-Yr Projection'!G47</f>
        <v>374.616853426758</v>
      </c>
    </row>
    <row r="23" customFormat="false" ht="15" hidden="false" customHeight="false" outlineLevel="0" collapsed="false">
      <c r="B23" s="59" t="s">
        <v>143</v>
      </c>
      <c r="C23" s="60" t="n">
        <f aca="false">'5-Yr Projection'!C48</f>
        <v>159.01623</v>
      </c>
      <c r="D23" s="60" t="n">
        <f aca="false">'5-Yr Projection'!D48</f>
        <v>162.9160677</v>
      </c>
      <c r="E23" s="60" t="n">
        <f aca="false">'5-Yr Projection'!E48</f>
        <v>166.776907023</v>
      </c>
      <c r="F23" s="60" t="n">
        <f aca="false">'5-Yr Projection'!F48</f>
        <v>170.59913795277</v>
      </c>
      <c r="G23" s="60" t="n">
        <f aca="false">'5-Yr Projection'!G48</f>
        <v>174.383146573242</v>
      </c>
    </row>
  </sheetData>
  <mergeCells count="16">
    <mergeCell ref="A1:L1"/>
    <mergeCell ref="K2:L2"/>
    <mergeCell ref="B3:C3"/>
    <mergeCell ref="D3:E3"/>
    <mergeCell ref="F3:G3"/>
    <mergeCell ref="H3:I3"/>
    <mergeCell ref="J3:K3"/>
    <mergeCell ref="L3:M3"/>
    <mergeCell ref="B4:C4"/>
    <mergeCell ref="D4:E4"/>
    <mergeCell ref="F4:G4"/>
    <mergeCell ref="H4:I4"/>
    <mergeCell ref="J4:K4"/>
    <mergeCell ref="L4:M4"/>
    <mergeCell ref="B6:L6"/>
    <mergeCell ref="B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2026-07-08T10:40:18Z</dcterms:created>
  <dc:creator>openpyxl</dc:creator>
  <dc:description/>
  <dc:language>en-US</dc:language>
  <cp:lastModifiedBy/>
  <dcterms:modified xsi:type="dcterms:W3CDTF">2026-07-08T10:40:20Z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